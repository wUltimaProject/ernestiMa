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ndrea/Downloads/"/>
    </mc:Choice>
  </mc:AlternateContent>
  <xr:revisionPtr revIDLastSave="0" documentId="13_ncr:1_{20E5C13C-4F69-8A4C-8BAF-F5BEC6BA8BBA}" xr6:coauthVersionLast="47" xr6:coauthVersionMax="47" xr10:uidLastSave="{00000000-0000-0000-0000-000000000000}"/>
  <bookViews>
    <workbookView xWindow="29400" yWindow="-1860" windowWidth="38400" windowHeight="20980" activeTab="4" xr2:uid="{00000000-000D-0000-FFFF-FFFF00000000}"/>
  </bookViews>
  <sheets>
    <sheet name="Copertina" sheetId="10" r:id="rId1"/>
    <sheet name="TCF_(Technical_Complexity_Facto" sheetId="1" r:id="rId2"/>
    <sheet name="ECF_(Environment_Complexity_Fac" sheetId="2" r:id="rId3"/>
    <sheet name="Use Cases" sheetId="4" r:id="rId4"/>
    <sheet name="UUCP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iAtJgS5LOHRnKd+uuBm1jVmdaHww=="/>
    </ext>
  </extLst>
</workbook>
</file>

<file path=xl/calcChain.xml><?xml version="1.0" encoding="utf-8"?>
<calcChain xmlns="http://schemas.openxmlformats.org/spreadsheetml/2006/main">
  <c r="C1" i="4" l="1"/>
  <c r="D1" i="4"/>
  <c r="E1" i="4"/>
  <c r="D4" i="3" l="1"/>
  <c r="E4" i="3" s="1"/>
  <c r="D3" i="3"/>
  <c r="E3" i="3" s="1"/>
  <c r="E12" i="3"/>
  <c r="E11" i="3"/>
  <c r="E10" i="3"/>
  <c r="D10" i="2"/>
  <c r="C10" i="2"/>
  <c r="E9" i="2"/>
  <c r="E8" i="2"/>
  <c r="E7" i="2"/>
  <c r="E6" i="2"/>
  <c r="E5" i="2"/>
  <c r="E4" i="2"/>
  <c r="E3" i="2"/>
  <c r="E2" i="2"/>
  <c r="D15" i="1"/>
  <c r="C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5" i="1" l="1"/>
  <c r="E17" i="1" s="1"/>
  <c r="E10" i="2"/>
  <c r="E13" i="2" s="1"/>
  <c r="D2" i="3"/>
  <c r="E2" i="3" s="1"/>
  <c r="E5" i="3" s="1"/>
  <c r="E13" i="3"/>
  <c r="C16" i="3" l="1"/>
  <c r="C18" i="3"/>
  <c r="C19" i="3" s="1"/>
</calcChain>
</file>

<file path=xl/sharedStrings.xml><?xml version="1.0" encoding="utf-8"?>
<sst xmlns="http://schemas.openxmlformats.org/spreadsheetml/2006/main" count="404" uniqueCount="331">
  <si>
    <t>Unadjusted Use Case Points (UUCP) estimation</t>
  </si>
  <si>
    <t>Progetto</t>
  </si>
  <si>
    <t>Cliente</t>
  </si>
  <si>
    <t>Versione</t>
  </si>
  <si>
    <t>1.0</t>
  </si>
  <si>
    <t>Data</t>
  </si>
  <si>
    <t>Redatto da</t>
  </si>
  <si>
    <t>Approvato da</t>
  </si>
  <si>
    <r>
      <t>🎯</t>
    </r>
    <r>
      <rPr>
        <b/>
        <sz val="18"/>
        <color rgb="FF000000"/>
        <rFont val="Times New Roman"/>
        <family val="1"/>
      </rPr>
      <t> Obiettivi dei TCF</t>
    </r>
  </si>
  <si>
    <r>
      <t>Identificare </t>
    </r>
    <r>
      <rPr>
        <b/>
        <sz val="12"/>
        <color rgb="FF000000"/>
        <rFont val="Times New Roman"/>
        <family val="1"/>
      </rPr>
      <t>aree di complessità tecnica</t>
    </r>
    <r>
      <rPr>
        <sz val="12"/>
        <color rgb="FF000000"/>
        <rFont val="Times New Roman"/>
        <family val="1"/>
      </rPr>
      <t> che incidono sullo sviluppo.</t>
    </r>
  </si>
  <si>
    <t>Uniformare la valutazione tra progetti diversi.</t>
  </si>
  <si>
    <r>
      <t>Supportare il </t>
    </r>
    <r>
      <rPr>
        <b/>
        <sz val="12"/>
        <color rgb="FF000000"/>
        <rFont val="Times New Roman"/>
        <family val="1"/>
      </rPr>
      <t>dialogo tra team tecnici e manageriali</t>
    </r>
    <r>
      <rPr>
        <sz val="12"/>
        <color rgb="FF000000"/>
        <rFont val="Times New Roman"/>
        <family val="1"/>
      </rPr>
      <t> sul livello di difficoltà.</t>
    </r>
  </si>
  <si>
    <r>
      <t>Migliorare la </t>
    </r>
    <r>
      <rPr>
        <b/>
        <sz val="12"/>
        <color rgb="FF000000"/>
        <rFont val="Times New Roman"/>
        <family val="1"/>
      </rPr>
      <t>precisione delle stime</t>
    </r>
    <r>
      <rPr>
        <sz val="12"/>
        <color rgb="FF000000"/>
        <rFont val="Times New Roman"/>
        <family val="1"/>
      </rPr>
      <t> e la previsione degli effort.</t>
    </r>
  </si>
  <si>
    <t>Codice</t>
  </si>
  <si>
    <t>Fattore tecnico</t>
  </si>
  <si>
    <t>Peso</t>
  </si>
  <si>
    <t>Come valutarlo (0–5)</t>
  </si>
  <si>
    <t>T1</t>
  </si>
  <si>
    <t>Distributed System</t>
  </si>
  <si>
    <t>2.0</t>
  </si>
  <si>
    <t>Più il sistema è distribuito (multi-server, microservizi, multi-data center), più alto è il valore</t>
  </si>
  <si>
    <t>T2</t>
  </si>
  <si>
    <t>Performance Objectives</t>
  </si>
  <si>
    <t>Più stringenti i requisiti di tempo risposta/throughput, più alto il valore</t>
  </si>
  <si>
    <t>T3</t>
  </si>
  <si>
    <t>End User Efficiency</t>
  </si>
  <si>
    <t>Più serve ottimizzare l’efficienza utente (UX, automazioni), più alto il valore</t>
  </si>
  <si>
    <t>T4</t>
  </si>
  <si>
    <t>Complex Internal Processing</t>
  </si>
  <si>
    <t>Più la logica interna è articolata (algoritmi, regole, AI), più alto il valore</t>
  </si>
  <si>
    <t>T5</t>
  </si>
  <si>
    <t>Reusability</t>
  </si>
  <si>
    <t>Più i componenti devono essere riutilizzabili (API, librerie), più alto il valore</t>
  </si>
  <si>
    <t>T6</t>
  </si>
  <si>
    <t>Easy to Install</t>
  </si>
  <si>
    <t>0.5</t>
  </si>
  <si>
    <t>Più semplice e automatizzabile l’installazione (CI/CD, 1-click), più alto il valore</t>
  </si>
  <si>
    <t>T7</t>
  </si>
  <si>
    <t>Usability / Easy to Use</t>
  </si>
  <si>
    <t>Più sforzo serve per rendere l’app intuitiva (UX, test), più alto il valore</t>
  </si>
  <si>
    <t>T8</t>
  </si>
  <si>
    <t>Portability</t>
  </si>
  <si>
    <t>Più piattaforme e ambienti da supportare (OS, browser, cloud), più alto il valore</t>
  </si>
  <si>
    <t>T9</t>
  </si>
  <si>
    <t>Easy to Change</t>
  </si>
  <si>
    <t>Più è pensato per manutenzione/modularità/test, più alto il valore</t>
  </si>
  <si>
    <t>T10</t>
  </si>
  <si>
    <t>Concurrent Users</t>
  </si>
  <si>
    <t>Più utenti simultanei deve gestire il sistema, più alto il valore</t>
  </si>
  <si>
    <t>T11</t>
  </si>
  <si>
    <t>Special Security Features</t>
  </si>
  <si>
    <t>Più richieste avanzate di sicurezza (MFA, cifratura, compliance), più alto il valore</t>
  </si>
  <si>
    <t>T12</t>
  </si>
  <si>
    <t>Direct Access for Third Parties</t>
  </si>
  <si>
    <t>Più il sistema espone API/SDK a terzi, più alto il valore</t>
  </si>
  <si>
    <t>T13</t>
  </si>
  <si>
    <t>Special User Training</t>
  </si>
  <si>
    <t>Più formazione serve agli utenti (manuali, corsi), più alto il valore</t>
  </si>
  <si>
    <t>Tecnical Factor</t>
  </si>
  <si>
    <t>Description</t>
  </si>
  <si>
    <t>Weight</t>
  </si>
  <si>
    <t>Perceived Complexity</t>
  </si>
  <si>
    <t>Calculated Factor (weight*perceived complexity)&gt;</t>
  </si>
  <si>
    <t>Note</t>
  </si>
  <si>
    <t>Distributed system</t>
  </si>
  <si>
    <t>Valuta quanto il sistema è progettato per migliorare l’efficienza dell’utente finale, cioè: Ridurre il numero di click o passaggi per completare un’azione, Ottimizzare i flussi di lavoro, Rendere l’interfaccia rapida, intuitiva ed efficace, Automatizzare operazioni ripetitive, Minimizzare errori e tempi morti</t>
  </si>
  <si>
    <t>Complex internal Processing</t>
  </si>
  <si>
    <t>Indica quanto sono complesse le regole di business e che devono essere gestite all’interno dell’app o del sistema.</t>
  </si>
  <si>
    <t>Valuta l'importanza dell'utilizzo di un codice modulare, testabilità, logging</t>
  </si>
  <si>
    <t>Easy to install</t>
  </si>
  <si>
    <t>Complessità deploy: store, provisioning, configurazioni</t>
  </si>
  <si>
    <t>Misura quanto sforzo tecnico è richiesto per rendere il sistema facile da usare. Attenzione: Non valuta se l’app è semplice per l’utente, ma quanto lavoro serve per farla diventare facile quindi più alto è il valore, più impegno progettuale e tecnico è necessario per costruire una User Experience (UX) curata, intuitiva, accessibile e coerente.</t>
  </si>
  <si>
    <t>Misura la complessità dovuta al dover supportare più ambienti, dispositivi o piattaforme</t>
  </si>
  <si>
    <t>Easy to change</t>
  </si>
  <si>
    <t>Misura l'impoertanza di sviluppare un softaware facile da modificare, estendere o correggere il sistema una volta sviluppato</t>
  </si>
  <si>
    <t>Valuta quanto il sistem deve gestire attività concorrenti come : (Download/upload simultanei (es. file, foto, video), Chat/messaging con aggiornamenti real-time (WebSocket), Chat/messaging con aggiornamenti real-time, Notifiche push sincronizzate su più dispositivi,Sync in background di dati multipli (es. app offline-first), analytics in parallelo ad altre attività utente</t>
  </si>
  <si>
    <t>Special security features</t>
  </si>
  <si>
    <t>Misura la complessità tecnica dovuta a requisiti di sicurezza che vanno oltre la normale protezione dei dati.</t>
  </si>
  <si>
    <t>Provides direct access for third parties</t>
  </si>
  <si>
    <t>Misura la complessità tecnica legata all’esposizione di funzionalità o dati del sistema a soggetti esterni attraverso interfacce dirette, API o SDK</t>
  </si>
  <si>
    <t>Special user training facilities are required</t>
  </si>
  <si>
    <t>Misura quanto sforzo tecnico (e progettuale) è necessario per supportare l’utente nell’apprendimento e utilizzo dell’app</t>
  </si>
  <si>
    <t>Totals</t>
  </si>
  <si>
    <t>TCF</t>
  </si>
  <si>
    <r>
      <t>🎯</t>
    </r>
    <r>
      <rPr>
        <b/>
        <sz val="18"/>
        <color rgb="FF000000"/>
        <rFont val="Times New Roman"/>
        <family val="1"/>
      </rPr>
      <t> Obiettivi degli ECF</t>
    </r>
  </si>
  <si>
    <r>
      <t>Evidenziare i </t>
    </r>
    <r>
      <rPr>
        <b/>
        <sz val="12"/>
        <color rgb="FF000000"/>
        <rFont val="Times New Roman"/>
        <family val="1"/>
      </rPr>
      <t>punti di forza o debolezza</t>
    </r>
    <r>
      <rPr>
        <sz val="12"/>
        <color rgb="FF000000"/>
        <rFont val="Times New Roman"/>
        <family val="1"/>
      </rPr>
      <t> del team.</t>
    </r>
  </si>
  <si>
    <t>Riconoscere i rischi legati a requisiti instabili, linguaggi complessi o risorse part-time.</t>
  </si>
  <si>
    <r>
      <t>Aggiustare la stima UCP in base al </t>
    </r>
    <r>
      <rPr>
        <b/>
        <sz val="12"/>
        <color rgb="FF000000"/>
        <rFont val="Times New Roman"/>
        <family val="1"/>
      </rPr>
      <t>contesto reale</t>
    </r>
    <r>
      <rPr>
        <sz val="12"/>
        <color rgb="FF000000"/>
        <rFont val="Times New Roman"/>
        <family val="1"/>
      </rPr>
      <t> del progetto.</t>
    </r>
  </si>
  <si>
    <r>
      <t>Favorire un’analisi condivisa tra </t>
    </r>
    <r>
      <rPr>
        <b/>
        <sz val="12"/>
        <color rgb="FF000000"/>
        <rFont val="Times New Roman"/>
        <family val="1"/>
      </rPr>
      <t>manager, analisti e sviluppatori</t>
    </r>
    <r>
      <rPr>
        <sz val="12"/>
        <color rgb="FF000000"/>
        <rFont val="Times New Roman"/>
        <family val="1"/>
      </rPr>
      <t>.</t>
    </r>
  </si>
  <si>
    <t>Fattore ambientale</t>
  </si>
  <si>
    <t>E1</t>
  </si>
  <si>
    <t>Familiarity with development process used</t>
  </si>
  <si>
    <t>1.5</t>
  </si>
  <si>
    <t>E2</t>
  </si>
  <si>
    <t>Application Experience</t>
  </si>
  <si>
    <t>E3</t>
  </si>
  <si>
    <t>Developer Experience</t>
  </si>
  <si>
    <t>E4</t>
  </si>
  <si>
    <t>Lead Analyst Capability</t>
  </si>
  <si>
    <t>E5</t>
  </si>
  <si>
    <t>Motivation</t>
  </si>
  <si>
    <t>-1.0</t>
  </si>
  <si>
    <t>E6</t>
  </si>
  <si>
    <t>Stable Requirements</t>
  </si>
  <si>
    <t>E7</t>
  </si>
  <si>
    <t>Part-time Workers</t>
  </si>
  <si>
    <t>E8</t>
  </si>
  <si>
    <t>Difficult Programming Language</t>
  </si>
  <si>
    <t>Dev Experience</t>
  </si>
  <si>
    <t>Lead analyst capability</t>
  </si>
  <si>
    <t>Part-time workers</t>
  </si>
  <si>
    <t>Difficult Programming language</t>
  </si>
  <si>
    <t>ECF</t>
  </si>
  <si>
    <t>Use Case</t>
  </si>
  <si>
    <t>Simple</t>
  </si>
  <si>
    <t>Avarage</t>
  </si>
  <si>
    <t>Complex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</si>
  <si>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</si>
  <si>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</si>
  <si>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</si>
  <si>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</si>
  <si>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</si>
  <si>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</si>
  <si>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</si>
  <si>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</si>
  <si>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</si>
  <si>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</si>
  <si>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</si>
  <si>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</si>
  <si>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</si>
  <si>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</si>
  <si>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</si>
  <si>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</si>
  <si>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</si>
  <si>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</si>
  <si>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</si>
  <si>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</si>
  <si>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</si>
  <si>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</si>
  <si>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</si>
  <si>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</si>
  <si>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</si>
  <si>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</si>
  <si>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</si>
  <si>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</si>
  <si>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</si>
  <si>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</si>
  <si>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</si>
  <si>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</si>
  <si>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</si>
  <si>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</si>
  <si>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</si>
  <si>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</si>
  <si>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</si>
  <si>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</si>
  <si>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</si>
  <si>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</si>
  <si>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</si>
  <si>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</si>
  <si>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</si>
  <si>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</si>
  <si>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</si>
  <si>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</si>
  <si>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</si>
  <si>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</si>
  <si>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</si>
  <si>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</si>
  <si>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</si>
  <si>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</si>
  <si>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</si>
  <si>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</si>
  <si>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</si>
  <si>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</si>
  <si>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</si>
  <si>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</si>
  <si>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</si>
  <si>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</si>
  <si>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</si>
  <si>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</si>
  <si>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</si>
  <si>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</si>
  <si>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</si>
  <si>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</si>
  <si>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</si>
  <si>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</si>
  <si>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</si>
  <si>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</si>
  <si>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</si>
  <si>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</si>
  <si>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</si>
  <si>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</si>
  <si>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</si>
  <si>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</si>
  <si>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</si>
  <si>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</si>
  <si>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</si>
  <si>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</si>
  <si>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</si>
  <si>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</si>
  <si>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</si>
  <si>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</si>
  <si>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</si>
  <si>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</si>
  <si>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</si>
  <si>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</si>
  <si>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</si>
  <si>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</si>
  <si>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</si>
  <si>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</si>
  <si>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</si>
  <si>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</si>
  <si>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</si>
  <si>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</si>
  <si>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</si>
  <si>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</si>
  <si>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</si>
  <si>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</si>
  <si>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</si>
  <si>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</si>
  <si>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</si>
  <si>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</si>
  <si>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</si>
  <si>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</si>
  <si>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</si>
  <si>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</si>
  <si>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</si>
  <si>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</si>
  <si>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</si>
  <si>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</si>
  <si>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</si>
  <si>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</si>
  <si>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</si>
  <si>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</si>
  <si>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</si>
  <si>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</si>
  <si>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</si>
  <si>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</si>
  <si>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Use Case Type</t>
  </si>
  <si>
    <t>Number of Use Case</t>
  </si>
  <si>
    <t xml:space="preserve"> Results</t>
  </si>
  <si>
    <t xml:space="preserve">A simple user interface and touches only a single database entity; its success scenario has 3 steps or less; its implementation involves less than 5 classes.
</t>
  </si>
  <si>
    <t xml:space="preserve">More interface design and touches 2 or more database entities; between 4 to 7 steps; its implementation involves between 5 to 10 classes.
</t>
  </si>
  <si>
    <t>Involves a complex user interface or’ processing and touches 3 or more database entities; over seven steps; its implementation involves more than 10 classes.</t>
  </si>
  <si>
    <t>Actor type</t>
  </si>
  <si>
    <t>Number of Actor</t>
  </si>
  <si>
    <t xml:space="preserve">The Actor represents another system with a defined API
</t>
  </si>
  <si>
    <t>The Actor represents another system interacting through a protocol, like TCP/IP</t>
  </si>
  <si>
    <t>The Actor is a person interacting via an interface</t>
  </si>
  <si>
    <t>Unadjusted Use Case Point</t>
  </si>
  <si>
    <t>Productivity Factor (n.ore stimate per sviluppare 1 Use Case Point)</t>
  </si>
  <si>
    <t>Use Case Point</t>
  </si>
  <si>
    <t>GG/UU</t>
  </si>
  <si>
    <t>Gestione ripescaggi e cessioni diritti</t>
  </si>
  <si>
    <t>Gestione calendari gare e univocità codice squadra</t>
  </si>
  <si>
    <t>Definizione gruppo atleti</t>
  </si>
  <si>
    <t>Archivio documentale centralizzato</t>
  </si>
  <si>
    <t>Gestione ticket e tracciamento interventi</t>
  </si>
  <si>
    <t>Gestione consensi e privacy (GDPR)</t>
  </si>
  <si>
    <t>Gestione iscrizioni ai campionati</t>
  </si>
  <si>
    <t>Calcolo organici e promozioni/retrocessioni</t>
  </si>
  <si>
    <t>Spostamenti gara</t>
  </si>
  <si>
    <t>Referto elettronico</t>
  </si>
  <si>
    <t>Firma digitale dell’arbitro</t>
  </si>
  <si>
    <t>Risultati e classifiche</t>
  </si>
  <si>
    <t>Finali territoriali/regionali/nazionali</t>
  </si>
  <si>
    <t>Attività promozionale</t>
  </si>
  <si>
    <t>Trofeo delle Regioni</t>
  </si>
  <si>
    <t>Trofeo dei Territori</t>
  </si>
  <si>
    <t>Tornei extra federali</t>
  </si>
  <si>
    <t>Provvedimenti disciplinari</t>
  </si>
  <si>
    <t>Recidive</t>
  </si>
  <si>
    <t>Automaticità dei provvedimenti</t>
  </si>
  <si>
    <t>Comunicato del Giudice e aggiornamento DB nazionale</t>
  </si>
  <si>
    <t>Documenti con scadenzario (ufficiali di gara)</t>
  </si>
  <si>
    <t>Disponibilità arbitri e ufficiali</t>
  </si>
  <si>
    <t>Designazioni gare (Indoor/Beach/Sitting)</t>
  </si>
  <si>
    <t>Rapporti tutor e osservatori</t>
  </si>
  <si>
    <t>Valutazioni prestazioni</t>
  </si>
  <si>
    <t>Rimborsi/diarie e spese documentate</t>
  </si>
  <si>
    <t>Pagamenti (ufficiali di gara)</t>
  </si>
  <si>
    <t>Corsi di abilitazione/aggiornamento (ufficiali di gara)</t>
  </si>
  <si>
    <t>Arbitri/Osservatori/Segnapunti associati</t>
  </si>
  <si>
    <t>Corsi di abilitazione (allenatori ecc.)</t>
  </si>
  <si>
    <t>Corsi di aggiornamento (allenatori ecc.)</t>
  </si>
  <si>
    <t>Iscrizioni ai corsi T/R/Interregionali</t>
  </si>
  <si>
    <t>Crediti formativi</t>
  </si>
  <si>
    <t>Gestione appuntamenti (allen., amichevoli, tornei)</t>
  </si>
  <si>
    <t>Convocazioni atleti</t>
  </si>
  <si>
    <t>Pagamenti carta di credito (PagoPA)</t>
  </si>
  <si>
    <t>Registrazione pagamenti bonifico</t>
  </si>
  <si>
    <t>Estratto conto e blocco società insolventi</t>
  </si>
  <si>
    <t>Trasferimento record a piattaforma contabile</t>
  </si>
  <si>
    <t>Gestione collaboratori e volontari (presenze/rimborsi)</t>
  </si>
  <si>
    <t>Utenti, ruoli e permessi granulari</t>
  </si>
  <si>
    <t>Liste d’invio e comunicazioni</t>
  </si>
  <si>
    <t>Notifiche (SMS/WhatsApp/Push)</t>
  </si>
  <si>
    <t>Protocollo documenti (comitati)</t>
  </si>
  <si>
    <t>Sito istituzionale comitati (autoalimentato)</t>
  </si>
  <si>
    <t>Sito finali nazionali (autoalimentato)</t>
  </si>
  <si>
    <t>Sito trofei territori/regioni (autoalimentato)</t>
  </si>
  <si>
    <t>Accesso mobile / app (fase 2)</t>
  </si>
  <si>
    <t>Formazione sincrona (webinar)</t>
  </si>
  <si>
    <t>E-learning asincrono (video/quiz)</t>
  </si>
  <si>
    <t>Test di verifica e attestati</t>
  </si>
  <si>
    <t>Autenticazione sicura e 2FA</t>
  </si>
  <si>
    <t>Log accessi e tracciamento attività</t>
  </si>
  <si>
    <t>GARA FIPAV</t>
  </si>
  <si>
    <t>FIPAV</t>
  </si>
  <si>
    <t>1= meno familiare/esperto/capace</t>
  </si>
  <si>
    <t>5= più familiare/esperto/capace</t>
  </si>
  <si>
    <t>VALUTARE COSI'</t>
  </si>
  <si>
    <r>
      <t>Più il team è</t>
    </r>
    <r>
      <rPr>
        <b/>
        <sz val="12"/>
        <color rgb="FF000000"/>
        <rFont val="Times New Roman"/>
        <family val="1"/>
      </rPr>
      <t xml:space="preserve"> familiare</t>
    </r>
    <r>
      <rPr>
        <sz val="12"/>
        <color rgb="FF000000"/>
        <rFont val="Times New Roman"/>
        <family val="1"/>
      </rPr>
      <t> con il processo adottato (Agile, Scrum, Waterfall), più alto è il valore</t>
    </r>
  </si>
  <si>
    <r>
      <t>Più il team ha</t>
    </r>
    <r>
      <rPr>
        <b/>
        <sz val="12"/>
        <color rgb="FF000000"/>
        <rFont val="Times New Roman"/>
        <family val="1"/>
      </rPr>
      <t xml:space="preserve"> esperienza nel dominio applicativo</t>
    </r>
    <r>
      <rPr>
        <sz val="12"/>
        <color rgb="FF000000"/>
        <rFont val="Times New Roman"/>
        <family val="1"/>
      </rPr>
      <t>, più alto è il valore</t>
    </r>
  </si>
  <si>
    <r>
      <t>Più il team ha</t>
    </r>
    <r>
      <rPr>
        <b/>
        <sz val="12"/>
        <color rgb="FF000000"/>
        <rFont val="Times New Roman"/>
        <family val="1"/>
      </rPr>
      <t xml:space="preserve"> esperienza con lo stack tecnico scelto</t>
    </r>
    <r>
      <rPr>
        <sz val="12"/>
        <color rgb="FF000000"/>
        <rFont val="Times New Roman"/>
        <family val="1"/>
      </rPr>
      <t>, più alto è il valore</t>
    </r>
  </si>
  <si>
    <r>
      <t>Più l’analista principale ha</t>
    </r>
    <r>
      <rPr>
        <b/>
        <sz val="12"/>
        <color rgb="FF000000"/>
        <rFont val="Times New Roman"/>
        <family val="1"/>
      </rPr>
      <t xml:space="preserve"> capacità di gestione requisiti</t>
    </r>
    <r>
      <rPr>
        <sz val="12"/>
        <color rgb="FF000000"/>
        <rFont val="Times New Roman"/>
        <family val="1"/>
      </rPr>
      <t>, più alto è il valore</t>
    </r>
  </si>
  <si>
    <r>
      <t>Più il team è </t>
    </r>
    <r>
      <rPr>
        <b/>
        <sz val="12"/>
        <color rgb="FF000000"/>
        <rFont val="Times New Roman"/>
        <family val="1"/>
      </rPr>
      <t>motivato e proattivo</t>
    </r>
    <r>
      <rPr>
        <sz val="12"/>
        <color rgb="FF000000"/>
        <rFont val="Times New Roman"/>
        <family val="1"/>
      </rPr>
      <t>, più Alto è il valore (fattore positivo)</t>
    </r>
  </si>
  <si>
    <r>
      <t>Più i requisiti sono </t>
    </r>
    <r>
      <rPr>
        <b/>
        <sz val="12"/>
        <color rgb="FF000000"/>
        <rFont val="Times New Roman"/>
        <family val="1"/>
      </rPr>
      <t>instabili e soggetti a cambiamenti</t>
    </r>
    <r>
      <rPr>
        <sz val="12"/>
        <color rgb="FF000000"/>
        <rFont val="Times New Roman"/>
        <family val="1"/>
      </rPr>
      <t xml:space="preserve">, più </t>
    </r>
    <r>
      <rPr>
        <b/>
        <u/>
        <sz val="12"/>
        <color rgb="FF000000"/>
        <rFont val="Times New Roman"/>
        <family val="1"/>
      </rPr>
      <t>basso è il valore</t>
    </r>
  </si>
  <si>
    <r>
      <t>Più ci sono </t>
    </r>
    <r>
      <rPr>
        <b/>
        <sz val="12"/>
        <color rgb="FF000000"/>
        <rFont val="Times New Roman"/>
        <family val="1"/>
      </rPr>
      <t>risorse part-time o non dedicate</t>
    </r>
    <r>
      <rPr>
        <sz val="12"/>
        <color rgb="FF000000"/>
        <rFont val="Times New Roman"/>
        <family val="1"/>
      </rPr>
      <t xml:space="preserve">, </t>
    </r>
    <r>
      <rPr>
        <b/>
        <u/>
        <sz val="12"/>
        <color rgb="FF000000"/>
        <rFont val="Times New Roman"/>
        <family val="1"/>
      </rPr>
      <t xml:space="preserve">più basso è il valore </t>
    </r>
    <r>
      <rPr>
        <sz val="12"/>
        <color rgb="FF000000"/>
        <rFont val="Times New Roman"/>
        <family val="1"/>
      </rPr>
      <t>(fattore negativo)</t>
    </r>
  </si>
  <si>
    <r>
      <t>Più il linguaggio è </t>
    </r>
    <r>
      <rPr>
        <b/>
        <sz val="12"/>
        <color rgb="FF000000"/>
        <rFont val="Times New Roman"/>
        <family val="1"/>
      </rPr>
      <t>complesso o poco familiare</t>
    </r>
    <r>
      <rPr>
        <sz val="12"/>
        <color rgb="FF000000"/>
        <rFont val="Times New Roman"/>
        <family val="1"/>
      </rPr>
      <t xml:space="preserve">, </t>
    </r>
    <r>
      <rPr>
        <b/>
        <u/>
        <sz val="12"/>
        <color rgb="FF000000"/>
        <rFont val="Times New Roman"/>
        <family val="1"/>
      </rPr>
      <t>più basso è il valore</t>
    </r>
  </si>
  <si>
    <t>Familiarità del team con i processo di analisi e sviluppo. Quanto il team è abituato al processo di sviluppo adottato (es. Agile, Scrum, Waterfall, DevOps).</t>
  </si>
  <si>
    <t>Esperienza di dominio. Esperienza del team con il dominio applicativo (business, settore, tipologia di app).</t>
  </si>
  <si>
    <t>Esperienza tecnica. Conoscenza tecnica dei linguaggi, framework e tool usati nel progetto.</t>
  </si>
  <si>
    <t>Motivazione del team. Il livello di motivazione e coinvolgimento del team.</t>
  </si>
  <si>
    <t>La competenza dell’analista principale (o BA) nel raccogliere e chiarire i requisiti e il coinvolgimento/committment atteso del cliente</t>
  </si>
  <si>
    <t>La stabilità e chiarezza dei requisiti.</t>
  </si>
  <si>
    <t>Stabilità del team (impattata dalla eventuale presenza di un elevato numero di membri del team non full-time sul porgetto).</t>
  </si>
  <si>
    <t>Complessità dello stack tecnologico. Quanto il linguaggio di programmazione scelto è difficile da usare o mantenere.</t>
  </si>
  <si>
    <t>1=meno complesso</t>
  </si>
  <si>
    <t>5=più complesso</t>
  </si>
  <si>
    <t xml:space="preserve">Questo fattore misura la complessità introdotta dalla necessità che il sistema sia distribuito su più nodi o componenti software che comunicano tra loro (server, servizi esterni, database remoti, microservizi). La distribuzione implica sfide aggiuntive legate a rete, performance, affidabilità, sicurezza e sincronizzazione dei dati.		</t>
  </si>
  <si>
    <t>Misura quanto il sistema deve rispettare requisiti di performance, velocità di risposta e throughput.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</si>
</sst>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 &quot;#,##0.00&quot; &quot;;&quot;-&quot;#,##0.00&quot; &quot;;&quot; -&quot;00&quot; &quot;;&quot; &quot;@&quot; &quot;"/>
  </numFmts>
  <fonts count="20">
    <font>
      <sz val="12"/>
      <color rgb="FF000000"/>
      <name val="Liberation sans"/>
    </font>
    <font>
      <sz val="12"/>
      <color rgb="FFFFFFFF"/>
      <name val="Liberation sans"/>
    </font>
    <font>
      <b/>
      <sz val="12"/>
      <color rgb="FFFFFFFF"/>
      <name val="Liberation sans"/>
    </font>
    <font>
      <sz val="10"/>
      <color rgb="FF000000"/>
      <name val="Helvetica Neue"/>
      <family val="2"/>
    </font>
    <font>
      <sz val="8"/>
      <name val="Liberation sans"/>
    </font>
    <font>
      <sz val="12"/>
      <color rgb="FF000000"/>
      <name val="Liberation sans"/>
    </font>
    <font>
      <sz val="12"/>
      <color rgb="FF000000"/>
      <name val="Helvetica Neue"/>
      <family val="2"/>
    </font>
    <font>
      <b/>
      <sz val="12"/>
      <color rgb="FFFFFFFF"/>
      <name val="Helvetica Neue"/>
      <family val="2"/>
    </font>
    <font>
      <sz val="12"/>
      <color rgb="FFFFFFFF"/>
      <name val="Helvetica Neue"/>
      <family val="2"/>
    </font>
    <font>
      <sz val="12"/>
      <color theme="1"/>
      <name val="Helvetica Neue"/>
      <family val="2"/>
    </font>
    <font>
      <b/>
      <sz val="26"/>
      <color rgb="FF000000"/>
      <name val="Helvetica Neue"/>
      <family val="2"/>
    </font>
    <font>
      <sz val="24"/>
      <color rgb="FF000000"/>
      <name val="Helvetica Neue"/>
      <family val="2"/>
    </font>
    <font>
      <b/>
      <sz val="12"/>
      <color rgb="FF000000"/>
      <name val="Liberation sans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8"/>
      <color rgb="FF000000"/>
      <name val="Apple Color Emoji"/>
    </font>
    <font>
      <b/>
      <sz val="18"/>
      <color rgb="FF000000"/>
      <name val="Times New Roman"/>
      <family val="1"/>
    </font>
    <font>
      <sz val="11"/>
      <color rgb="FF000000"/>
      <name val="Calibri"/>
      <family val="2"/>
    </font>
    <font>
      <b/>
      <u/>
      <sz val="12"/>
      <color rgb="FF000000"/>
      <name val="Times New Roman"/>
      <family val="1"/>
    </font>
    <font>
      <b/>
      <sz val="12"/>
      <color rgb="FF000000"/>
      <name val="Helvetica Neue"/>
      <family val="2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8EA9DB"/>
        <bgColor rgb="FF8EA9DB"/>
      </patternFill>
    </fill>
    <fill>
      <patternFill patternType="solid">
        <fgColor rgb="FF0070C0"/>
        <bgColor rgb="FF007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50"/>
      </patternFill>
    </fill>
    <fill>
      <patternFill patternType="solid">
        <fgColor rgb="FF92D050"/>
        <bgColor rgb="FFFFFF0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6" borderId="1" xfId="0" applyFont="1" applyFill="1" applyBorder="1"/>
    <xf numFmtId="0" fontId="2" fillId="6" borderId="3" xfId="0" applyFont="1" applyFill="1" applyBorder="1"/>
    <xf numFmtId="0" fontId="1" fillId="6" borderId="3" xfId="0" applyFont="1" applyFill="1" applyBorder="1"/>
    <xf numFmtId="0" fontId="3" fillId="0" borderId="3" xfId="0" applyFont="1" applyBorder="1"/>
    <xf numFmtId="0" fontId="3" fillId="7" borderId="3" xfId="0" applyFont="1" applyFill="1" applyBorder="1"/>
    <xf numFmtId="0" fontId="7" fillId="2" borderId="1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8" fillId="5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/>
    <xf numFmtId="0" fontId="8" fillId="2" borderId="2" xfId="0" applyFont="1" applyFill="1" applyBorder="1" applyAlignment="1">
      <alignment horizontal="right"/>
    </xf>
    <xf numFmtId="164" fontId="6" fillId="0" borderId="2" xfId="0" applyNumberFormat="1" applyFont="1" applyBorder="1"/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right"/>
    </xf>
    <xf numFmtId="0" fontId="8" fillId="2" borderId="1" xfId="0" applyFont="1" applyFill="1" applyBorder="1"/>
    <xf numFmtId="0" fontId="6" fillId="8" borderId="5" xfId="0" applyFont="1" applyFill="1" applyBorder="1"/>
    <xf numFmtId="0" fontId="6" fillId="8" borderId="6" xfId="0" applyFont="1" applyFill="1" applyBorder="1"/>
    <xf numFmtId="0" fontId="6" fillId="8" borderId="7" xfId="0" applyFont="1" applyFill="1" applyBorder="1"/>
    <xf numFmtId="0" fontId="6" fillId="8" borderId="8" xfId="0" applyFont="1" applyFill="1" applyBorder="1"/>
    <xf numFmtId="0" fontId="6" fillId="8" borderId="1" xfId="0" applyFont="1" applyFill="1" applyBorder="1"/>
    <xf numFmtId="0" fontId="6" fillId="8" borderId="9" xfId="0" applyFont="1" applyFill="1" applyBorder="1"/>
    <xf numFmtId="0" fontId="10" fillId="8" borderId="4" xfId="0" applyFont="1" applyFill="1" applyBorder="1" applyAlignment="1">
      <alignment horizontal="right"/>
    </xf>
    <xf numFmtId="0" fontId="11" fillId="8" borderId="1" xfId="0" applyFont="1" applyFill="1" applyBorder="1"/>
    <xf numFmtId="0" fontId="11" fillId="8" borderId="4" xfId="0" applyFont="1" applyFill="1" applyBorder="1" applyAlignment="1">
      <alignment horizontal="right"/>
    </xf>
    <xf numFmtId="0" fontId="11" fillId="8" borderId="1" xfId="0" applyFont="1" applyFill="1" applyBorder="1" applyAlignment="1">
      <alignment horizontal="right"/>
    </xf>
    <xf numFmtId="14" fontId="11" fillId="8" borderId="4" xfId="0" applyNumberFormat="1" applyFont="1" applyFill="1" applyBorder="1" applyAlignment="1">
      <alignment horizontal="right"/>
    </xf>
    <xf numFmtId="0" fontId="11" fillId="8" borderId="4" xfId="0" applyFont="1" applyFill="1" applyBorder="1"/>
    <xf numFmtId="0" fontId="6" fillId="8" borderId="10" xfId="0" applyFont="1" applyFill="1" applyBorder="1"/>
    <xf numFmtId="0" fontId="6" fillId="8" borderId="11" xfId="0" applyFont="1" applyFill="1" applyBorder="1"/>
    <xf numFmtId="0" fontId="11" fillId="8" borderId="11" xfId="0" applyFont="1" applyFill="1" applyBorder="1"/>
    <xf numFmtId="0" fontId="6" fillId="8" borderId="12" xfId="0" applyFont="1" applyFill="1" applyBorder="1"/>
    <xf numFmtId="0" fontId="11" fillId="0" borderId="0" xfId="0" applyFont="1"/>
    <xf numFmtId="43" fontId="6" fillId="0" borderId="0" xfId="1" applyFont="1"/>
    <xf numFmtId="0" fontId="9" fillId="0" borderId="3" xfId="0" applyFont="1" applyBorder="1"/>
    <xf numFmtId="0" fontId="9" fillId="3" borderId="3" xfId="0" applyFont="1" applyFill="1" applyBorder="1"/>
    <xf numFmtId="0" fontId="9" fillId="4" borderId="3" xfId="0" applyFont="1" applyFill="1" applyBorder="1"/>
    <xf numFmtId="0" fontId="9" fillId="0" borderId="3" xfId="0" applyFont="1" applyBorder="1" applyAlignment="1">
      <alignment wrapText="1"/>
    </xf>
    <xf numFmtId="0" fontId="12" fillId="0" borderId="0" xfId="0" applyFont="1"/>
    <xf numFmtId="0" fontId="0" fillId="0" borderId="0" xfId="0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9" fillId="9" borderId="3" xfId="0" applyFont="1" applyFill="1" applyBorder="1"/>
    <xf numFmtId="164" fontId="6" fillId="10" borderId="2" xfId="0" applyNumberFormat="1" applyFont="1" applyFill="1" applyBorder="1"/>
    <xf numFmtId="164" fontId="6" fillId="11" borderId="2" xfId="0" applyNumberFormat="1" applyFont="1" applyFill="1" applyBorder="1"/>
    <xf numFmtId="0" fontId="2" fillId="6" borderId="13" xfId="0" applyFont="1" applyFill="1" applyBorder="1"/>
    <xf numFmtId="0" fontId="17" fillId="0" borderId="0" xfId="0" applyFont="1"/>
    <xf numFmtId="0" fontId="17" fillId="0" borderId="1" xfId="0" applyFont="1" applyBorder="1"/>
    <xf numFmtId="0" fontId="19" fillId="0" borderId="0" xfId="0" applyFont="1"/>
    <xf numFmtId="0" fontId="15" fillId="0" borderId="0" xfId="0" applyFont="1" applyAlignment="1">
      <alignment vertical="center"/>
    </xf>
    <xf numFmtId="0" fontId="6" fillId="0" borderId="0" xfId="0" applyFont="1" applyFill="1" applyAlignment="1">
      <alignment vertical="top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241300</xdr:colOff>
      <xdr:row>2</xdr:row>
      <xdr:rowOff>88900</xdr:rowOff>
    </xdr:from>
    <xdr:to>
      <xdr:col>4</xdr:col>
      <xdr:colOff>584200</xdr:colOff>
      <xdr:row>11</xdr:row>
      <xdr:rowOff>42333</xdr:rowOff>
    </xdr:to>
    <xdr:pic>
      <xdr:nvPicPr>
        <xdr:cNvPr id="2" name="Elemento grafico 1">
          <a:extLst>
            <a:ext uri="{FF2B5EF4-FFF2-40B4-BE49-F238E27FC236}">
              <a16:creationId xmlns:a16="http://schemas.microsoft.com/office/drawing/2014/main" id="{0CD2AB43-6943-24ED-42B5-ADBF7860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92300" y="508000"/>
          <a:ext cx="1993900" cy="1993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54427</xdr:colOff>
      <xdr:row>20</xdr:row>
      <xdr:rowOff>72571</xdr:rowOff>
    </xdr:from>
    <xdr:to>
      <xdr:col>1</xdr:col>
      <xdr:colOff>6988006</xdr:colOff>
      <xdr:row>42</xdr:row>
      <xdr:rowOff>36286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76B7CC3C-1F97-EB4F-9218-6A808F6B2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213" y="3882571"/>
          <a:ext cx="6933579" cy="415471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8E2C-3CC9-B944-AC80-92EAD5CFC79C}">
  <dimension ref="B2:J30"/>
  <sheetViews>
    <sheetView showGridLines="0" zoomScale="75" workbookViewId="0">
      <selection activeCell="F20" sqref="F20"/>
    </sheetView>
  </sheetViews>
  <sheetFormatPr baseColWidth="10" defaultColWidth="11.42578125" defaultRowHeight="16"/>
  <cols>
    <col min="1" max="4" width="11.42578125" style="12"/>
    <col min="5" max="5" width="26" style="12" customWidth="1"/>
    <col min="6" max="6" width="94.140625" style="12" customWidth="1"/>
    <col min="7" max="16384" width="11.42578125" style="12"/>
  </cols>
  <sheetData>
    <row r="2" spans="2:10" ht="17" thickBot="1"/>
    <row r="3" spans="2:10">
      <c r="B3" s="20"/>
      <c r="C3" s="21"/>
      <c r="D3" s="21"/>
      <c r="E3" s="21"/>
      <c r="F3" s="21"/>
      <c r="G3" s="21"/>
      <c r="H3" s="21"/>
      <c r="I3" s="21"/>
      <c r="J3" s="22"/>
    </row>
    <row r="4" spans="2:10">
      <c r="B4" s="23"/>
      <c r="C4" s="24"/>
      <c r="D4" s="24"/>
      <c r="E4" s="24"/>
      <c r="F4" s="24"/>
      <c r="G4" s="24"/>
      <c r="H4" s="24"/>
      <c r="I4" s="24"/>
      <c r="J4" s="25"/>
    </row>
    <row r="5" spans="2:10">
      <c r="B5" s="23"/>
      <c r="C5" s="24"/>
      <c r="D5" s="24"/>
      <c r="E5" s="24"/>
      <c r="F5" s="24"/>
      <c r="G5" s="24"/>
      <c r="H5" s="24"/>
      <c r="I5" s="24"/>
      <c r="J5" s="25"/>
    </row>
    <row r="6" spans="2:10">
      <c r="B6" s="23"/>
      <c r="C6" s="24"/>
      <c r="D6" s="24"/>
      <c r="E6" s="24"/>
      <c r="F6" s="24"/>
      <c r="G6" s="24"/>
      <c r="H6" s="24"/>
      <c r="I6" s="24"/>
      <c r="J6" s="25"/>
    </row>
    <row r="7" spans="2:10">
      <c r="B7" s="23"/>
      <c r="C7" s="24"/>
      <c r="D7" s="24"/>
      <c r="E7" s="24"/>
      <c r="F7" s="24"/>
      <c r="G7" s="24"/>
      <c r="H7" s="24"/>
      <c r="I7" s="24"/>
      <c r="J7" s="25"/>
    </row>
    <row r="8" spans="2:10" ht="33">
      <c r="B8" s="23"/>
      <c r="C8" s="24"/>
      <c r="D8" s="24"/>
      <c r="E8" s="24"/>
      <c r="F8" s="26" t="s">
        <v>0</v>
      </c>
      <c r="G8" s="24"/>
      <c r="H8" s="24"/>
      <c r="I8" s="24"/>
      <c r="J8" s="25"/>
    </row>
    <row r="9" spans="2:10">
      <c r="B9" s="23"/>
      <c r="C9" s="24"/>
      <c r="D9" s="24"/>
      <c r="E9" s="24"/>
      <c r="F9" s="24"/>
      <c r="G9" s="24"/>
      <c r="H9" s="24"/>
      <c r="I9" s="24"/>
      <c r="J9" s="25"/>
    </row>
    <row r="10" spans="2:10">
      <c r="B10" s="23"/>
      <c r="C10" s="24"/>
      <c r="D10" s="24"/>
      <c r="E10" s="24"/>
      <c r="F10" s="24"/>
      <c r="G10" s="24"/>
      <c r="H10" s="24"/>
      <c r="I10" s="24"/>
      <c r="J10" s="25"/>
    </row>
    <row r="11" spans="2:10">
      <c r="B11" s="23"/>
      <c r="C11" s="24"/>
      <c r="D11" s="24"/>
      <c r="E11" s="24"/>
      <c r="F11" s="24"/>
      <c r="G11" s="24"/>
      <c r="H11" s="24"/>
      <c r="I11" s="24"/>
      <c r="J11" s="25"/>
    </row>
    <row r="12" spans="2:10">
      <c r="B12" s="23"/>
      <c r="C12" s="24"/>
      <c r="D12" s="24"/>
      <c r="E12" s="24"/>
      <c r="F12" s="24"/>
      <c r="G12" s="24"/>
      <c r="H12" s="24"/>
      <c r="I12" s="24"/>
      <c r="J12" s="25"/>
    </row>
    <row r="13" spans="2:10" ht="30">
      <c r="B13" s="23"/>
      <c r="C13" s="24"/>
      <c r="D13" s="27" t="s">
        <v>1</v>
      </c>
      <c r="E13" s="24"/>
      <c r="F13" s="28" t="s">
        <v>306</v>
      </c>
      <c r="G13" s="24"/>
      <c r="H13" s="24"/>
      <c r="I13" s="24"/>
      <c r="J13" s="25"/>
    </row>
    <row r="14" spans="2:10" ht="30">
      <c r="B14" s="23"/>
      <c r="C14" s="24"/>
      <c r="D14" s="27"/>
      <c r="E14" s="24"/>
      <c r="F14" s="29"/>
      <c r="G14" s="24"/>
      <c r="H14" s="24"/>
      <c r="I14" s="24"/>
      <c r="J14" s="25"/>
    </row>
    <row r="15" spans="2:10" ht="30">
      <c r="B15" s="23"/>
      <c r="C15" s="24"/>
      <c r="D15" s="27" t="s">
        <v>2</v>
      </c>
      <c r="E15" s="24"/>
      <c r="F15" s="28" t="s">
        <v>307</v>
      </c>
      <c r="G15" s="24"/>
      <c r="H15" s="24"/>
      <c r="I15" s="24"/>
      <c r="J15" s="25"/>
    </row>
    <row r="16" spans="2:10" ht="30">
      <c r="B16" s="23"/>
      <c r="C16" s="24"/>
      <c r="D16" s="27"/>
      <c r="E16" s="24"/>
      <c r="F16" s="29"/>
      <c r="G16" s="24"/>
      <c r="H16" s="24"/>
      <c r="I16" s="24"/>
      <c r="J16" s="25"/>
    </row>
    <row r="17" spans="2:10" ht="30">
      <c r="B17" s="23"/>
      <c r="C17" s="24"/>
      <c r="D17" s="27" t="s">
        <v>3</v>
      </c>
      <c r="E17" s="24"/>
      <c r="F17" s="28" t="s">
        <v>19</v>
      </c>
      <c r="G17" s="24"/>
      <c r="H17" s="24"/>
      <c r="I17" s="24"/>
      <c r="J17" s="25"/>
    </row>
    <row r="18" spans="2:10" ht="30">
      <c r="B18" s="23"/>
      <c r="C18" s="24"/>
      <c r="D18" s="27"/>
      <c r="E18" s="24"/>
      <c r="F18" s="29"/>
      <c r="G18" s="24"/>
      <c r="H18" s="24"/>
      <c r="I18" s="24"/>
      <c r="J18" s="25"/>
    </row>
    <row r="19" spans="2:10" ht="30">
      <c r="B19" s="23"/>
      <c r="C19" s="24"/>
      <c r="D19" s="27" t="s">
        <v>5</v>
      </c>
      <c r="E19" s="24"/>
      <c r="F19" s="30">
        <v>45957</v>
      </c>
      <c r="G19" s="24"/>
      <c r="H19" s="24"/>
      <c r="I19" s="24"/>
      <c r="J19" s="25"/>
    </row>
    <row r="20" spans="2:10" ht="30">
      <c r="B20" s="23"/>
      <c r="C20" s="24"/>
      <c r="D20" s="27"/>
      <c r="E20" s="24"/>
      <c r="F20" s="29"/>
      <c r="G20" s="24"/>
      <c r="H20" s="24"/>
      <c r="I20" s="24"/>
      <c r="J20" s="25"/>
    </row>
    <row r="21" spans="2:10" ht="30">
      <c r="B21" s="23"/>
      <c r="C21" s="24"/>
      <c r="D21" s="27" t="s">
        <v>6</v>
      </c>
      <c r="E21" s="24"/>
      <c r="F21" s="28"/>
      <c r="G21" s="24"/>
      <c r="H21" s="24"/>
      <c r="I21" s="24"/>
      <c r="J21" s="25"/>
    </row>
    <row r="22" spans="2:10" ht="30">
      <c r="B22" s="23"/>
      <c r="C22" s="24"/>
      <c r="D22" s="27"/>
      <c r="E22" s="24"/>
      <c r="F22" s="29"/>
      <c r="G22" s="24"/>
      <c r="H22" s="24"/>
      <c r="I22" s="24"/>
      <c r="J22" s="25"/>
    </row>
    <row r="23" spans="2:10" ht="30">
      <c r="B23" s="23"/>
      <c r="C23" s="24"/>
      <c r="D23" s="27" t="s">
        <v>7</v>
      </c>
      <c r="E23" s="24"/>
      <c r="F23" s="31"/>
      <c r="G23" s="24"/>
      <c r="H23" s="24"/>
      <c r="I23" s="24"/>
      <c r="J23" s="25"/>
    </row>
    <row r="24" spans="2:10" ht="30">
      <c r="B24" s="23"/>
      <c r="C24" s="24"/>
      <c r="D24" s="27"/>
      <c r="E24" s="24"/>
      <c r="F24" s="24"/>
      <c r="G24" s="24"/>
      <c r="H24" s="24"/>
      <c r="I24" s="24"/>
      <c r="J24" s="25"/>
    </row>
    <row r="25" spans="2:10" ht="30">
      <c r="B25" s="23"/>
      <c r="C25" s="24"/>
      <c r="D25" s="27"/>
      <c r="E25" s="24"/>
      <c r="F25" s="24"/>
      <c r="G25" s="24"/>
      <c r="H25" s="24"/>
      <c r="I25" s="24"/>
      <c r="J25" s="25"/>
    </row>
    <row r="26" spans="2:10" ht="31" thickBot="1">
      <c r="B26" s="32"/>
      <c r="C26" s="33"/>
      <c r="D26" s="34"/>
      <c r="E26" s="33"/>
      <c r="F26" s="33"/>
      <c r="G26" s="33"/>
      <c r="H26" s="33"/>
      <c r="I26" s="33"/>
      <c r="J26" s="35"/>
    </row>
    <row r="27" spans="2:10" ht="30">
      <c r="D27" s="36"/>
    </row>
    <row r="28" spans="2:10" ht="30">
      <c r="D28" s="36"/>
    </row>
    <row r="29" spans="2:10" ht="30">
      <c r="D29" s="36"/>
    </row>
    <row r="30" spans="2:10" ht="30">
      <c r="D30" s="3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75" zoomScaleNormal="130" workbookViewId="0">
      <selection activeCell="D2" sqref="D2"/>
    </sheetView>
  </sheetViews>
  <sheetFormatPr baseColWidth="10" defaultColWidth="11.140625" defaultRowHeight="15" customHeight="1"/>
  <cols>
    <col min="1" max="1" width="12.7109375" style="12" customWidth="1"/>
    <col min="2" max="2" width="48.7109375" style="12" customWidth="1"/>
    <col min="3" max="3" width="14.28515625" style="12" customWidth="1"/>
    <col min="4" max="4" width="18.85546875" style="12" customWidth="1"/>
    <col min="5" max="5" width="18.42578125" style="12" customWidth="1"/>
    <col min="6" max="6" width="99.7109375" style="12" customWidth="1"/>
    <col min="7" max="26" width="8.28515625" style="12" customWidth="1"/>
    <col min="27" max="16384" width="11.140625" style="12"/>
  </cols>
  <sheetData>
    <row r="1" spans="1:26" ht="15.75" customHeight="1">
      <c r="A1" s="17" t="s">
        <v>58</v>
      </c>
      <c r="B1" s="17" t="s">
        <v>59</v>
      </c>
      <c r="C1" s="17" t="s">
        <v>60</v>
      </c>
      <c r="D1" s="17" t="s">
        <v>61</v>
      </c>
      <c r="E1" s="17" t="s">
        <v>62</v>
      </c>
      <c r="F1" s="17" t="s">
        <v>63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51">
      <c r="A2" s="39" t="s">
        <v>17</v>
      </c>
      <c r="B2" s="38" t="s">
        <v>64</v>
      </c>
      <c r="C2" s="38">
        <v>2</v>
      </c>
      <c r="D2" s="48">
        <v>2</v>
      </c>
      <c r="E2" s="38">
        <f t="shared" ref="E2:E14" si="0">C2*D2</f>
        <v>4</v>
      </c>
      <c r="F2" s="41" t="s">
        <v>329</v>
      </c>
    </row>
    <row r="3" spans="1:26" ht="17">
      <c r="A3" s="39" t="s">
        <v>21</v>
      </c>
      <c r="B3" s="38" t="s">
        <v>22</v>
      </c>
      <c r="C3" s="38">
        <v>1</v>
      </c>
      <c r="D3" s="48">
        <v>2</v>
      </c>
      <c r="E3" s="38">
        <f t="shared" si="0"/>
        <v>2</v>
      </c>
      <c r="F3" s="41" t="s">
        <v>330</v>
      </c>
    </row>
    <row r="4" spans="1:26" ht="51">
      <c r="A4" s="39" t="s">
        <v>24</v>
      </c>
      <c r="B4" s="38" t="s">
        <v>25</v>
      </c>
      <c r="C4" s="38">
        <v>1</v>
      </c>
      <c r="D4" s="48">
        <v>2</v>
      </c>
      <c r="E4" s="38">
        <f t="shared" si="0"/>
        <v>2</v>
      </c>
      <c r="F4" s="41" t="s">
        <v>65</v>
      </c>
    </row>
    <row r="5" spans="1:26" ht="17">
      <c r="A5" s="39" t="s">
        <v>27</v>
      </c>
      <c r="B5" s="38" t="s">
        <v>66</v>
      </c>
      <c r="C5" s="38">
        <v>1</v>
      </c>
      <c r="D5" s="48">
        <v>2</v>
      </c>
      <c r="E5" s="38">
        <f t="shared" si="0"/>
        <v>2</v>
      </c>
      <c r="F5" s="41" t="s">
        <v>67</v>
      </c>
    </row>
    <row r="6" spans="1:26" ht="17">
      <c r="A6" s="39" t="s">
        <v>30</v>
      </c>
      <c r="B6" s="38" t="s">
        <v>31</v>
      </c>
      <c r="C6" s="38">
        <v>1</v>
      </c>
      <c r="D6" s="48">
        <v>2</v>
      </c>
      <c r="E6" s="38">
        <f t="shared" si="0"/>
        <v>2</v>
      </c>
      <c r="F6" s="41" t="s">
        <v>68</v>
      </c>
    </row>
    <row r="7" spans="1:26" ht="17">
      <c r="A7" s="39" t="s">
        <v>33</v>
      </c>
      <c r="B7" s="38" t="s">
        <v>69</v>
      </c>
      <c r="C7" s="38">
        <v>0.5</v>
      </c>
      <c r="D7" s="48">
        <v>2</v>
      </c>
      <c r="E7" s="38">
        <f t="shared" si="0"/>
        <v>1</v>
      </c>
      <c r="F7" s="41" t="s">
        <v>70</v>
      </c>
    </row>
    <row r="8" spans="1:26" ht="51">
      <c r="A8" s="39" t="s">
        <v>37</v>
      </c>
      <c r="B8" s="38" t="s">
        <v>38</v>
      </c>
      <c r="C8" s="38">
        <v>0.5</v>
      </c>
      <c r="D8" s="48">
        <v>2</v>
      </c>
      <c r="E8" s="38">
        <f t="shared" si="0"/>
        <v>1</v>
      </c>
      <c r="F8" s="41" t="s">
        <v>71</v>
      </c>
    </row>
    <row r="9" spans="1:26" ht="17">
      <c r="A9" s="39" t="s">
        <v>40</v>
      </c>
      <c r="B9" s="38" t="s">
        <v>41</v>
      </c>
      <c r="C9" s="38">
        <v>2</v>
      </c>
      <c r="D9" s="48">
        <v>2</v>
      </c>
      <c r="E9" s="38">
        <f t="shared" si="0"/>
        <v>4</v>
      </c>
      <c r="F9" s="41" t="s">
        <v>72</v>
      </c>
    </row>
    <row r="10" spans="1:26" ht="17">
      <c r="A10" s="39" t="s">
        <v>43</v>
      </c>
      <c r="B10" s="38" t="s">
        <v>73</v>
      </c>
      <c r="C10" s="38">
        <v>1</v>
      </c>
      <c r="D10" s="48">
        <v>2</v>
      </c>
      <c r="E10" s="38">
        <f t="shared" si="0"/>
        <v>2</v>
      </c>
      <c r="F10" s="41" t="s">
        <v>74</v>
      </c>
    </row>
    <row r="11" spans="1:26" ht="68">
      <c r="A11" s="39" t="s">
        <v>46</v>
      </c>
      <c r="B11" s="38" t="s">
        <v>47</v>
      </c>
      <c r="C11" s="38">
        <v>1</v>
      </c>
      <c r="D11" s="48">
        <v>2</v>
      </c>
      <c r="E11" s="38">
        <f t="shared" si="0"/>
        <v>2</v>
      </c>
      <c r="F11" s="41" t="s">
        <v>75</v>
      </c>
    </row>
    <row r="12" spans="1:26" ht="17">
      <c r="A12" s="39" t="s">
        <v>49</v>
      </c>
      <c r="B12" s="38" t="s">
        <v>76</v>
      </c>
      <c r="C12" s="38">
        <v>1</v>
      </c>
      <c r="D12" s="48">
        <v>2</v>
      </c>
      <c r="E12" s="38">
        <f t="shared" si="0"/>
        <v>2</v>
      </c>
      <c r="F12" s="41" t="s">
        <v>77</v>
      </c>
    </row>
    <row r="13" spans="1:26" ht="34">
      <c r="A13" s="39" t="s">
        <v>52</v>
      </c>
      <c r="B13" s="38" t="s">
        <v>78</v>
      </c>
      <c r="C13" s="38">
        <v>1</v>
      </c>
      <c r="D13" s="48">
        <v>2</v>
      </c>
      <c r="E13" s="38">
        <f t="shared" si="0"/>
        <v>2</v>
      </c>
      <c r="F13" s="41" t="s">
        <v>79</v>
      </c>
    </row>
    <row r="14" spans="1:26" ht="17">
      <c r="A14" s="39" t="s">
        <v>55</v>
      </c>
      <c r="B14" s="38" t="s">
        <v>80</v>
      </c>
      <c r="C14" s="38">
        <v>1</v>
      </c>
      <c r="D14" s="48">
        <v>2</v>
      </c>
      <c r="E14" s="38">
        <f t="shared" si="0"/>
        <v>2</v>
      </c>
      <c r="F14" s="41" t="s">
        <v>81</v>
      </c>
    </row>
    <row r="15" spans="1:26" ht="15.75" customHeight="1">
      <c r="B15" s="18" t="s">
        <v>82</v>
      </c>
      <c r="C15" s="19">
        <f t="shared" ref="C15:D15" si="1">SUM(C2:C14)</f>
        <v>14</v>
      </c>
      <c r="D15" s="19">
        <f t="shared" si="1"/>
        <v>26</v>
      </c>
      <c r="E15" s="19">
        <f>SUM(E2:E14)</f>
        <v>28</v>
      </c>
      <c r="F15" s="19"/>
    </row>
    <row r="16" spans="1:26" ht="15.75" customHeight="1"/>
    <row r="17" spans="1:6" ht="15.75" customHeight="1">
      <c r="D17" s="19" t="s">
        <v>83</v>
      </c>
      <c r="E17" s="19">
        <f>0.6+(0.01*E15)</f>
        <v>0.88</v>
      </c>
      <c r="F17" s="19"/>
    </row>
    <row r="18" spans="1:6" ht="15.75" customHeight="1"/>
    <row r="19" spans="1:6" ht="15.75" customHeight="1"/>
    <row r="20" spans="1:6" ht="32">
      <c r="A20" s="55" t="s">
        <v>8</v>
      </c>
    </row>
    <row r="21" spans="1:6" ht="15.75" customHeight="1">
      <c r="A21" s="43"/>
    </row>
    <row r="22" spans="1:6" ht="15.75" customHeight="1">
      <c r="A22" s="44" t="s">
        <v>9</v>
      </c>
    </row>
    <row r="23" spans="1:6" ht="15.75" customHeight="1">
      <c r="A23" s="44" t="s">
        <v>10</v>
      </c>
      <c r="D23" s="54" t="s">
        <v>310</v>
      </c>
    </row>
    <row r="24" spans="1:6" ht="15.75" customHeight="1">
      <c r="A24" s="44" t="s">
        <v>11</v>
      </c>
      <c r="D24" s="12" t="s">
        <v>327</v>
      </c>
    </row>
    <row r="25" spans="1:6" ht="15.75" customHeight="1">
      <c r="A25" s="44" t="s">
        <v>12</v>
      </c>
      <c r="D25" s="12" t="s">
        <v>328</v>
      </c>
    </row>
    <row r="26" spans="1:6" ht="15.75" customHeight="1"/>
    <row r="27" spans="1:6" ht="15.75" customHeight="1">
      <c r="C27" s="42" t="s">
        <v>13</v>
      </c>
      <c r="D27" s="42" t="s">
        <v>14</v>
      </c>
      <c r="E27" s="42" t="s">
        <v>15</v>
      </c>
      <c r="F27" s="42" t="s">
        <v>16</v>
      </c>
    </row>
    <row r="28" spans="1:6" ht="15.75" customHeight="1">
      <c r="C28" s="42" t="s">
        <v>17</v>
      </c>
      <c r="D28" t="s">
        <v>18</v>
      </c>
      <c r="E28" t="s">
        <v>19</v>
      </c>
      <c r="F28" t="s">
        <v>20</v>
      </c>
    </row>
    <row r="29" spans="1:6" ht="15.75" customHeight="1">
      <c r="C29" s="42" t="s">
        <v>21</v>
      </c>
      <c r="D29" t="s">
        <v>22</v>
      </c>
      <c r="E29" t="s">
        <v>4</v>
      </c>
      <c r="F29" t="s">
        <v>23</v>
      </c>
    </row>
    <row r="30" spans="1:6" ht="15.75" customHeight="1">
      <c r="C30" s="42" t="s">
        <v>24</v>
      </c>
      <c r="D30" t="s">
        <v>25</v>
      </c>
      <c r="E30" t="s">
        <v>4</v>
      </c>
      <c r="F30" t="s">
        <v>26</v>
      </c>
    </row>
    <row r="31" spans="1:6" ht="15.75" customHeight="1">
      <c r="C31" s="42" t="s">
        <v>27</v>
      </c>
      <c r="D31" t="s">
        <v>28</v>
      </c>
      <c r="E31" t="s">
        <v>4</v>
      </c>
      <c r="F31" t="s">
        <v>29</v>
      </c>
    </row>
    <row r="32" spans="1:6" ht="15.75" customHeight="1">
      <c r="C32" s="42" t="s">
        <v>30</v>
      </c>
      <c r="D32" t="s">
        <v>31</v>
      </c>
      <c r="E32" t="s">
        <v>4</v>
      </c>
      <c r="F32" t="s">
        <v>32</v>
      </c>
    </row>
    <row r="33" spans="3:6" ht="15.75" customHeight="1">
      <c r="C33" s="42" t="s">
        <v>33</v>
      </c>
      <c r="D33" t="s">
        <v>34</v>
      </c>
      <c r="E33" t="s">
        <v>35</v>
      </c>
      <c r="F33" t="s">
        <v>36</v>
      </c>
    </row>
    <row r="34" spans="3:6" ht="15.75" customHeight="1">
      <c r="C34" s="42" t="s">
        <v>37</v>
      </c>
      <c r="D34" t="s">
        <v>38</v>
      </c>
      <c r="E34" t="s">
        <v>35</v>
      </c>
      <c r="F34" t="s">
        <v>39</v>
      </c>
    </row>
    <row r="35" spans="3:6" ht="15.75" customHeight="1">
      <c r="C35" s="42" t="s">
        <v>40</v>
      </c>
      <c r="D35" t="s">
        <v>41</v>
      </c>
      <c r="E35" t="s">
        <v>19</v>
      </c>
      <c r="F35" t="s">
        <v>42</v>
      </c>
    </row>
    <row r="36" spans="3:6" ht="15.75" customHeight="1">
      <c r="C36" s="42" t="s">
        <v>43</v>
      </c>
      <c r="D36" t="s">
        <v>44</v>
      </c>
      <c r="E36" t="s">
        <v>4</v>
      </c>
      <c r="F36" t="s">
        <v>45</v>
      </c>
    </row>
    <row r="37" spans="3:6" ht="15.75" customHeight="1">
      <c r="C37" s="42" t="s">
        <v>46</v>
      </c>
      <c r="D37" t="s">
        <v>47</v>
      </c>
      <c r="E37" t="s">
        <v>4</v>
      </c>
      <c r="F37" t="s">
        <v>48</v>
      </c>
    </row>
    <row r="38" spans="3:6" ht="15.75" customHeight="1">
      <c r="C38" s="42" t="s">
        <v>49</v>
      </c>
      <c r="D38" t="s">
        <v>50</v>
      </c>
      <c r="E38" t="s">
        <v>4</v>
      </c>
      <c r="F38" t="s">
        <v>51</v>
      </c>
    </row>
    <row r="39" spans="3:6" ht="15.75" customHeight="1">
      <c r="C39" s="42" t="s">
        <v>52</v>
      </c>
      <c r="D39" t="s">
        <v>53</v>
      </c>
      <c r="E39" t="s">
        <v>4</v>
      </c>
      <c r="F39" t="s">
        <v>54</v>
      </c>
    </row>
    <row r="40" spans="3:6" ht="15.75" customHeight="1">
      <c r="C40" s="42" t="s">
        <v>55</v>
      </c>
      <c r="D40" t="s">
        <v>56</v>
      </c>
      <c r="E40" t="s">
        <v>4</v>
      </c>
      <c r="F40" t="s">
        <v>57</v>
      </c>
    </row>
    <row r="41" spans="3:6" ht="15.75" customHeight="1"/>
    <row r="42" spans="3:6" ht="15.75" customHeight="1"/>
    <row r="43" spans="3:6" ht="15.75" customHeight="1"/>
    <row r="44" spans="3:6" ht="15.75" customHeight="1"/>
    <row r="45" spans="3:6" ht="15.75" customHeight="1"/>
    <row r="46" spans="3:6" ht="15.75" customHeight="1"/>
    <row r="47" spans="3:6" ht="15.75" customHeight="1"/>
    <row r="48" spans="3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.39370078740157505" bottom="0.39370078740157505" header="0" footer="0"/>
  <pageSetup orientation="landscape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zoomScaleNormal="140" workbookViewId="0">
      <selection activeCell="D5" sqref="D5"/>
    </sheetView>
  </sheetViews>
  <sheetFormatPr baseColWidth="10" defaultColWidth="11.140625" defaultRowHeight="15" customHeight="1"/>
  <cols>
    <col min="1" max="1" width="15" style="12" customWidth="1"/>
    <col min="2" max="2" width="39.85546875" style="12" bestFit="1" customWidth="1"/>
    <col min="3" max="3" width="7.42578125" style="12" bestFit="1" customWidth="1"/>
    <col min="4" max="4" width="31.85546875" style="12" bestFit="1" customWidth="1"/>
    <col min="5" max="5" width="17.7109375" style="12" customWidth="1"/>
    <col min="6" max="6" width="120.7109375" style="12" bestFit="1" customWidth="1"/>
    <col min="7" max="26" width="8.28515625" style="12" customWidth="1"/>
    <col min="27" max="16384" width="11.140625" style="12"/>
  </cols>
  <sheetData>
    <row r="1" spans="1:6" ht="15.75" customHeight="1">
      <c r="A1" s="17" t="s">
        <v>58</v>
      </c>
      <c r="B1" s="17" t="s">
        <v>59</v>
      </c>
      <c r="C1" s="17" t="s">
        <v>60</v>
      </c>
      <c r="D1" s="17" t="s">
        <v>61</v>
      </c>
      <c r="E1" s="17" t="s">
        <v>62</v>
      </c>
      <c r="F1" s="17" t="s">
        <v>63</v>
      </c>
    </row>
    <row r="2" spans="1:6" ht="15.75" customHeight="1">
      <c r="A2" s="40" t="s">
        <v>90</v>
      </c>
      <c r="B2" s="38" t="s">
        <v>91</v>
      </c>
      <c r="C2" s="38">
        <v>1.5</v>
      </c>
      <c r="D2" s="48">
        <v>3</v>
      </c>
      <c r="E2" s="38">
        <f t="shared" ref="E2:E9" si="0">C2*D2</f>
        <v>4.5</v>
      </c>
      <c r="F2" s="38" t="s">
        <v>319</v>
      </c>
    </row>
    <row r="3" spans="1:6" ht="15.75" customHeight="1">
      <c r="A3" s="40" t="s">
        <v>93</v>
      </c>
      <c r="B3" s="38" t="s">
        <v>94</v>
      </c>
      <c r="C3" s="38">
        <v>0.5</v>
      </c>
      <c r="D3" s="48">
        <v>3</v>
      </c>
      <c r="E3" s="38">
        <f t="shared" si="0"/>
        <v>1.5</v>
      </c>
      <c r="F3" s="38" t="s">
        <v>320</v>
      </c>
    </row>
    <row r="4" spans="1:6" ht="15.75" customHeight="1">
      <c r="A4" s="40" t="s">
        <v>95</v>
      </c>
      <c r="B4" s="38" t="s">
        <v>108</v>
      </c>
      <c r="C4" s="38">
        <v>1</v>
      </c>
      <c r="D4" s="48">
        <v>5</v>
      </c>
      <c r="E4" s="38">
        <f t="shared" si="0"/>
        <v>5</v>
      </c>
      <c r="F4" s="38" t="s">
        <v>321</v>
      </c>
    </row>
    <row r="5" spans="1:6" ht="15.75" customHeight="1">
      <c r="A5" s="40" t="s">
        <v>97</v>
      </c>
      <c r="B5" s="38" t="s">
        <v>109</v>
      </c>
      <c r="C5" s="38">
        <v>0.5</v>
      </c>
      <c r="D5" s="48">
        <v>3</v>
      </c>
      <c r="E5" s="38">
        <f t="shared" si="0"/>
        <v>1.5</v>
      </c>
      <c r="F5" s="38" t="s">
        <v>323</v>
      </c>
    </row>
    <row r="6" spans="1:6" ht="15.75" customHeight="1">
      <c r="A6" s="40" t="s">
        <v>99</v>
      </c>
      <c r="B6" s="38" t="s">
        <v>100</v>
      </c>
      <c r="C6" s="38">
        <v>1</v>
      </c>
      <c r="D6" s="48">
        <v>3</v>
      </c>
      <c r="E6" s="38">
        <f t="shared" si="0"/>
        <v>3</v>
      </c>
      <c r="F6" s="38" t="s">
        <v>322</v>
      </c>
    </row>
    <row r="7" spans="1:6" ht="15.75" customHeight="1">
      <c r="A7" s="40" t="s">
        <v>102</v>
      </c>
      <c r="B7" s="38" t="s">
        <v>103</v>
      </c>
      <c r="C7" s="38">
        <v>2</v>
      </c>
      <c r="D7" s="48">
        <v>3</v>
      </c>
      <c r="E7" s="38">
        <f t="shared" si="0"/>
        <v>6</v>
      </c>
      <c r="F7" s="38" t="s">
        <v>324</v>
      </c>
    </row>
    <row r="8" spans="1:6" ht="15.75" customHeight="1">
      <c r="A8" s="40" t="s">
        <v>104</v>
      </c>
      <c r="B8" s="38" t="s">
        <v>110</v>
      </c>
      <c r="C8" s="38">
        <v>-1</v>
      </c>
      <c r="D8" s="48">
        <v>3</v>
      </c>
      <c r="E8" s="38">
        <f t="shared" si="0"/>
        <v>-3</v>
      </c>
      <c r="F8" s="38" t="s">
        <v>325</v>
      </c>
    </row>
    <row r="9" spans="1:6" ht="15.75" customHeight="1">
      <c r="A9" s="40" t="s">
        <v>106</v>
      </c>
      <c r="B9" s="38" t="s">
        <v>111</v>
      </c>
      <c r="C9" s="38">
        <v>2</v>
      </c>
      <c r="D9" s="48">
        <v>3</v>
      </c>
      <c r="E9" s="38">
        <f t="shared" si="0"/>
        <v>6</v>
      </c>
      <c r="F9" s="38" t="s">
        <v>326</v>
      </c>
    </row>
    <row r="10" spans="1:6" ht="15.75" customHeight="1">
      <c r="B10" s="18" t="s">
        <v>82</v>
      </c>
      <c r="C10" s="19">
        <f t="shared" ref="C10:D10" si="1">SUM(C2:C9)</f>
        <v>7.5</v>
      </c>
      <c r="D10" s="19">
        <f t="shared" si="1"/>
        <v>26</v>
      </c>
      <c r="E10" s="19">
        <f>SUM(E2:E9)</f>
        <v>24.5</v>
      </c>
      <c r="F10" s="19"/>
    </row>
    <row r="11" spans="1:6" ht="15.75" customHeight="1"/>
    <row r="12" spans="1:6" ht="15.75" customHeight="1"/>
    <row r="13" spans="1:6" ht="15.75" customHeight="1">
      <c r="D13" s="19" t="s">
        <v>112</v>
      </c>
      <c r="E13" s="19">
        <f>1.4+(-0.03*E10)</f>
        <v>0.66499999999999992</v>
      </c>
    </row>
    <row r="14" spans="1:6" ht="15.75" customHeight="1">
      <c r="A14" s="55" t="s">
        <v>84</v>
      </c>
    </row>
    <row r="15" spans="1:6" ht="15.75" customHeight="1">
      <c r="A15" s="43"/>
    </row>
    <row r="16" spans="1:6" ht="15.75" customHeight="1">
      <c r="A16" s="44" t="s">
        <v>85</v>
      </c>
    </row>
    <row r="17" spans="1:6" ht="15.75" customHeight="1">
      <c r="A17" s="44" t="s">
        <v>86</v>
      </c>
    </row>
    <row r="18" spans="1:6" ht="15.75" customHeight="1">
      <c r="A18" s="44" t="s">
        <v>87</v>
      </c>
    </row>
    <row r="19" spans="1:6" ht="15.75" customHeight="1">
      <c r="A19" s="44" t="s">
        <v>88</v>
      </c>
    </row>
    <row r="20" spans="1:6" ht="15.75" customHeight="1">
      <c r="A20" s="44"/>
    </row>
    <row r="21" spans="1:6" ht="16">
      <c r="D21" s="54" t="s">
        <v>310</v>
      </c>
    </row>
    <row r="22" spans="1:6" ht="16">
      <c r="D22" s="12" t="s">
        <v>308</v>
      </c>
    </row>
    <row r="23" spans="1:6" ht="16">
      <c r="D23" s="12" t="s">
        <v>309</v>
      </c>
    </row>
    <row r="24" spans="1:6" ht="16"/>
    <row r="25" spans="1:6" ht="17">
      <c r="C25" s="45" t="s">
        <v>13</v>
      </c>
      <c r="D25" s="45" t="s">
        <v>89</v>
      </c>
      <c r="E25" s="45" t="s">
        <v>15</v>
      </c>
      <c r="F25" s="45" t="s">
        <v>16</v>
      </c>
    </row>
    <row r="26" spans="1:6" ht="17">
      <c r="C26" s="46" t="s">
        <v>90</v>
      </c>
      <c r="D26" s="47" t="s">
        <v>91</v>
      </c>
      <c r="E26" s="47" t="s">
        <v>92</v>
      </c>
      <c r="F26" s="47" t="s">
        <v>311</v>
      </c>
    </row>
    <row r="27" spans="1:6" ht="17">
      <c r="C27" s="46" t="s">
        <v>93</v>
      </c>
      <c r="D27" s="47" t="s">
        <v>94</v>
      </c>
      <c r="E27" s="47" t="s">
        <v>35</v>
      </c>
      <c r="F27" s="47" t="s">
        <v>312</v>
      </c>
    </row>
    <row r="28" spans="1:6" ht="17">
      <c r="C28" s="46" t="s">
        <v>95</v>
      </c>
      <c r="D28" s="47" t="s">
        <v>96</v>
      </c>
      <c r="E28" s="47" t="s">
        <v>4</v>
      </c>
      <c r="F28" s="47" t="s">
        <v>313</v>
      </c>
    </row>
    <row r="29" spans="1:6" ht="17">
      <c r="C29" s="46" t="s">
        <v>97</v>
      </c>
      <c r="D29" s="47" t="s">
        <v>98</v>
      </c>
      <c r="E29" s="47" t="s">
        <v>35</v>
      </c>
      <c r="F29" s="47" t="s">
        <v>314</v>
      </c>
    </row>
    <row r="30" spans="1:6" ht="15.75" customHeight="1">
      <c r="C30" s="46" t="s">
        <v>99</v>
      </c>
      <c r="D30" s="47" t="s">
        <v>100</v>
      </c>
      <c r="E30" s="47" t="s">
        <v>4</v>
      </c>
      <c r="F30" s="47" t="s">
        <v>315</v>
      </c>
    </row>
    <row r="31" spans="1:6" ht="15.75" customHeight="1">
      <c r="C31" s="46" t="s">
        <v>102</v>
      </c>
      <c r="D31" s="47" t="s">
        <v>103</v>
      </c>
      <c r="E31" s="47" t="s">
        <v>19</v>
      </c>
      <c r="F31" s="47" t="s">
        <v>316</v>
      </c>
    </row>
    <row r="32" spans="1:6" ht="15.75" customHeight="1">
      <c r="C32" s="46" t="s">
        <v>104</v>
      </c>
      <c r="D32" s="47" t="s">
        <v>105</v>
      </c>
      <c r="E32" s="47" t="s">
        <v>101</v>
      </c>
      <c r="F32" s="47" t="s">
        <v>317</v>
      </c>
    </row>
    <row r="33" spans="3:6" ht="15.75" customHeight="1">
      <c r="C33" s="46" t="s">
        <v>106</v>
      </c>
      <c r="D33" s="47" t="s">
        <v>107</v>
      </c>
      <c r="E33" s="47" t="s">
        <v>19</v>
      </c>
      <c r="F33" s="47" t="s">
        <v>318</v>
      </c>
    </row>
    <row r="34" spans="3:6" ht="15.75" customHeight="1"/>
    <row r="35" spans="3:6" ht="15.75" customHeight="1"/>
    <row r="36" spans="3:6" ht="15.75" customHeight="1"/>
    <row r="37" spans="3:6" ht="15.75" customHeight="1"/>
    <row r="38" spans="3:6" ht="15.75" customHeight="1"/>
    <row r="39" spans="3:6" ht="15.75" customHeight="1"/>
    <row r="40" spans="3:6" ht="15.75" customHeight="1"/>
    <row r="41" spans="3:6" ht="15.75" customHeight="1"/>
    <row r="42" spans="3:6" ht="15.75" customHeight="1"/>
    <row r="43" spans="3:6" ht="15.75" customHeight="1"/>
    <row r="44" spans="3:6" ht="15.75" customHeight="1"/>
    <row r="45" spans="3:6" ht="15.75" customHeight="1"/>
    <row r="46" spans="3:6" ht="15.75" customHeight="1"/>
    <row r="47" spans="3:6" ht="15.75" customHeight="1"/>
    <row r="48" spans="3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" right="0" top="0.39370078740157505" bottom="0.39370078740157505" header="0" footer="0"/>
  <pageSetup orientation="landscape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85"/>
  <sheetViews>
    <sheetView topLeftCell="A24" zoomScaleNormal="150" workbookViewId="0">
      <selection activeCell="B68" sqref="B68"/>
    </sheetView>
  </sheetViews>
  <sheetFormatPr baseColWidth="10" defaultColWidth="11.140625" defaultRowHeight="15" customHeight="1"/>
  <cols>
    <col min="1" max="1" width="11" customWidth="1"/>
    <col min="2" max="2" width="68.140625" customWidth="1"/>
    <col min="3" max="5" width="11" customWidth="1"/>
    <col min="6" max="6" width="20.7109375" bestFit="1" customWidth="1"/>
    <col min="7" max="26" width="8.28515625" customWidth="1"/>
  </cols>
  <sheetData>
    <row r="1" spans="1:6" ht="15.75" customHeight="1">
      <c r="A1" s="3"/>
      <c r="B1" s="3"/>
      <c r="C1" s="3">
        <f>SUM(C3:C125)</f>
        <v>11</v>
      </c>
      <c r="D1" s="3">
        <f t="shared" ref="D1:E1" si="0">SUM(D3:D125)</f>
        <v>34</v>
      </c>
      <c r="E1" s="3">
        <f t="shared" si="0"/>
        <v>9</v>
      </c>
    </row>
    <row r="2" spans="1:6" ht="15.75" customHeight="1">
      <c r="A2" s="4" t="s">
        <v>113</v>
      </c>
      <c r="B2" s="4" t="s">
        <v>59</v>
      </c>
      <c r="C2" s="51" t="s">
        <v>114</v>
      </c>
      <c r="D2" s="51" t="s">
        <v>115</v>
      </c>
      <c r="E2" s="51" t="s">
        <v>116</v>
      </c>
    </row>
    <row r="3" spans="1:6" ht="15.75" customHeight="1">
      <c r="A3" t="s">
        <v>117</v>
      </c>
      <c r="B3" t="s">
        <v>258</v>
      </c>
      <c r="D3">
        <v>1</v>
      </c>
      <c r="F3" s="52"/>
    </row>
    <row r="4" spans="1:6" ht="15.75" customHeight="1">
      <c r="A4" t="s">
        <v>118</v>
      </c>
      <c r="B4" t="s">
        <v>252</v>
      </c>
      <c r="D4">
        <v>1</v>
      </c>
      <c r="F4" s="52"/>
    </row>
    <row r="5" spans="1:6" ht="15.75" customHeight="1">
      <c r="A5" t="s">
        <v>119</v>
      </c>
      <c r="B5" t="s">
        <v>259</v>
      </c>
      <c r="E5">
        <v>1</v>
      </c>
      <c r="F5" s="52"/>
    </row>
    <row r="6" spans="1:6" ht="15.75" customHeight="1">
      <c r="A6" t="s">
        <v>120</v>
      </c>
      <c r="B6" t="s">
        <v>253</v>
      </c>
      <c r="E6">
        <v>1</v>
      </c>
      <c r="F6" s="52"/>
    </row>
    <row r="7" spans="1:6" ht="15.75" customHeight="1">
      <c r="A7" t="s">
        <v>121</v>
      </c>
      <c r="B7" t="s">
        <v>260</v>
      </c>
      <c r="C7">
        <v>1</v>
      </c>
      <c r="F7" s="52"/>
    </row>
    <row r="8" spans="1:6" ht="15.75" customHeight="1">
      <c r="A8" t="s">
        <v>122</v>
      </c>
      <c r="B8" t="s">
        <v>261</v>
      </c>
      <c r="E8">
        <v>1</v>
      </c>
      <c r="F8" s="52"/>
    </row>
    <row r="9" spans="1:6" ht="15.75" customHeight="1">
      <c r="A9" t="s">
        <v>123</v>
      </c>
      <c r="B9" t="s">
        <v>262</v>
      </c>
      <c r="D9">
        <v>1</v>
      </c>
      <c r="F9" s="52"/>
    </row>
    <row r="10" spans="1:6" ht="15.75" customHeight="1">
      <c r="A10" t="s">
        <v>124</v>
      </c>
      <c r="B10" t="s">
        <v>263</v>
      </c>
      <c r="D10">
        <v>1</v>
      </c>
      <c r="F10" s="52"/>
    </row>
    <row r="11" spans="1:6" ht="15.75" customHeight="1">
      <c r="A11" t="s">
        <v>125</v>
      </c>
      <c r="B11" t="s">
        <v>264</v>
      </c>
      <c r="D11">
        <v>1</v>
      </c>
      <c r="F11" s="52"/>
    </row>
    <row r="12" spans="1:6" ht="15.75" customHeight="1">
      <c r="A12" t="s">
        <v>126</v>
      </c>
      <c r="B12" t="s">
        <v>265</v>
      </c>
      <c r="C12">
        <v>1</v>
      </c>
      <c r="F12" s="52"/>
    </row>
    <row r="13" spans="1:6" ht="15.75" customHeight="1">
      <c r="A13" t="s">
        <v>127</v>
      </c>
      <c r="B13" t="s">
        <v>266</v>
      </c>
      <c r="D13">
        <v>1</v>
      </c>
      <c r="F13" s="52"/>
    </row>
    <row r="14" spans="1:6" ht="15.75" customHeight="1">
      <c r="A14" t="s">
        <v>128</v>
      </c>
      <c r="B14" t="s">
        <v>267</v>
      </c>
      <c r="D14">
        <v>1</v>
      </c>
      <c r="F14" s="53"/>
    </row>
    <row r="15" spans="1:6" ht="15.75" customHeight="1">
      <c r="A15" t="s">
        <v>129</v>
      </c>
      <c r="B15" t="s">
        <v>268</v>
      </c>
      <c r="C15">
        <v>1</v>
      </c>
      <c r="F15" s="52"/>
    </row>
    <row r="16" spans="1:6" ht="15.75" customHeight="1">
      <c r="A16" t="s">
        <v>130</v>
      </c>
      <c r="B16" t="s">
        <v>269</v>
      </c>
      <c r="D16">
        <v>1</v>
      </c>
      <c r="F16" s="52"/>
    </row>
    <row r="17" spans="1:6" ht="15.75" customHeight="1">
      <c r="A17" t="s">
        <v>131</v>
      </c>
      <c r="B17" t="s">
        <v>270</v>
      </c>
      <c r="D17">
        <v>1</v>
      </c>
      <c r="F17" s="52"/>
    </row>
    <row r="18" spans="1:6" ht="15.75" customHeight="1">
      <c r="A18" t="s">
        <v>132</v>
      </c>
      <c r="B18" t="s">
        <v>271</v>
      </c>
      <c r="E18">
        <v>1</v>
      </c>
      <c r="F18" s="52"/>
    </row>
    <row r="19" spans="1:6" ht="15.75" customHeight="1">
      <c r="A19" t="s">
        <v>133</v>
      </c>
      <c r="B19" t="s">
        <v>272</v>
      </c>
      <c r="C19">
        <v>1</v>
      </c>
      <c r="F19" s="52"/>
    </row>
    <row r="20" spans="1:6" ht="15.75" customHeight="1">
      <c r="A20" t="s">
        <v>134</v>
      </c>
      <c r="B20" t="s">
        <v>273</v>
      </c>
      <c r="D20">
        <v>1</v>
      </c>
      <c r="F20" s="52"/>
    </row>
    <row r="21" spans="1:6" ht="15.75" customHeight="1">
      <c r="A21" t="s">
        <v>135</v>
      </c>
      <c r="B21" t="s">
        <v>274</v>
      </c>
      <c r="C21">
        <v>1</v>
      </c>
      <c r="F21" s="52"/>
    </row>
    <row r="22" spans="1:6" ht="15.75" customHeight="1">
      <c r="A22" t="s">
        <v>136</v>
      </c>
      <c r="B22" t="s">
        <v>275</v>
      </c>
      <c r="E22">
        <v>1</v>
      </c>
      <c r="F22" s="52"/>
    </row>
    <row r="23" spans="1:6" ht="15.75" customHeight="1">
      <c r="A23" t="s">
        <v>137</v>
      </c>
      <c r="B23" t="s">
        <v>276</v>
      </c>
      <c r="D23">
        <v>1</v>
      </c>
      <c r="F23" s="52"/>
    </row>
    <row r="24" spans="1:6" ht="15.75" customHeight="1">
      <c r="A24" t="s">
        <v>138</v>
      </c>
      <c r="B24" t="s">
        <v>277</v>
      </c>
      <c r="D24">
        <v>1</v>
      </c>
      <c r="F24" s="52"/>
    </row>
    <row r="25" spans="1:6" ht="15.75" customHeight="1">
      <c r="A25" t="s">
        <v>139</v>
      </c>
      <c r="B25" t="s">
        <v>278</v>
      </c>
      <c r="E25">
        <v>1</v>
      </c>
      <c r="F25" s="52"/>
    </row>
    <row r="26" spans="1:6" ht="15.75" customHeight="1">
      <c r="A26" t="s">
        <v>140</v>
      </c>
      <c r="B26" t="s">
        <v>279</v>
      </c>
      <c r="D26">
        <v>1</v>
      </c>
      <c r="F26" s="52"/>
    </row>
    <row r="27" spans="1:6" ht="15.75" customHeight="1">
      <c r="A27" t="s">
        <v>141</v>
      </c>
      <c r="B27" t="s">
        <v>280</v>
      </c>
      <c r="D27">
        <v>1</v>
      </c>
      <c r="F27" s="52"/>
    </row>
    <row r="28" spans="1:6" ht="15.75" customHeight="1">
      <c r="A28" t="s">
        <v>142</v>
      </c>
      <c r="B28" t="s">
        <v>281</v>
      </c>
      <c r="D28">
        <v>1</v>
      </c>
      <c r="F28" s="52"/>
    </row>
    <row r="29" spans="1:6" ht="15.75" customHeight="1">
      <c r="A29" t="s">
        <v>143</v>
      </c>
      <c r="B29" t="s">
        <v>282</v>
      </c>
      <c r="D29">
        <v>1</v>
      </c>
      <c r="F29" s="52"/>
    </row>
    <row r="30" spans="1:6" ht="15.75" customHeight="1">
      <c r="A30" t="s">
        <v>144</v>
      </c>
      <c r="B30" t="s">
        <v>283</v>
      </c>
      <c r="D30">
        <v>1</v>
      </c>
      <c r="F30" s="52"/>
    </row>
    <row r="31" spans="1:6" ht="15.75" customHeight="1">
      <c r="A31" t="s">
        <v>145</v>
      </c>
      <c r="B31" t="s">
        <v>284</v>
      </c>
      <c r="D31">
        <v>1</v>
      </c>
      <c r="F31" s="52"/>
    </row>
    <row r="32" spans="1:6" ht="15.75" customHeight="1">
      <c r="A32" t="s">
        <v>146</v>
      </c>
      <c r="B32" t="s">
        <v>285</v>
      </c>
      <c r="C32">
        <v>1</v>
      </c>
      <c r="F32" s="52"/>
    </row>
    <row r="33" spans="1:6" ht="15.75" customHeight="1">
      <c r="A33" t="s">
        <v>147</v>
      </c>
      <c r="B33" t="s">
        <v>254</v>
      </c>
      <c r="C33">
        <v>1</v>
      </c>
      <c r="F33" s="52"/>
    </row>
    <row r="34" spans="1:6" ht="15.75" customHeight="1">
      <c r="A34" t="s">
        <v>148</v>
      </c>
      <c r="B34" t="s">
        <v>286</v>
      </c>
      <c r="D34">
        <v>1</v>
      </c>
      <c r="F34" s="52"/>
    </row>
    <row r="35" spans="1:6" ht="15.75" customHeight="1">
      <c r="A35" t="s">
        <v>149</v>
      </c>
      <c r="B35" t="s">
        <v>287</v>
      </c>
      <c r="C35">
        <v>1</v>
      </c>
      <c r="F35" s="52"/>
    </row>
    <row r="36" spans="1:6" ht="15.75" customHeight="1">
      <c r="A36" t="s">
        <v>150</v>
      </c>
      <c r="B36" t="s">
        <v>288</v>
      </c>
      <c r="E36">
        <v>1</v>
      </c>
      <c r="F36" s="52"/>
    </row>
    <row r="37" spans="1:6" ht="15.75" customHeight="1">
      <c r="A37" t="s">
        <v>151</v>
      </c>
      <c r="B37" t="s">
        <v>289</v>
      </c>
      <c r="C37">
        <v>1</v>
      </c>
      <c r="F37" s="52"/>
    </row>
    <row r="38" spans="1:6" ht="15.75" customHeight="1">
      <c r="A38" t="s">
        <v>152</v>
      </c>
      <c r="B38" t="s">
        <v>290</v>
      </c>
      <c r="D38">
        <v>1</v>
      </c>
      <c r="F38" s="52"/>
    </row>
    <row r="39" spans="1:6" ht="15.75" customHeight="1">
      <c r="A39" t="s">
        <v>153</v>
      </c>
      <c r="B39" t="s">
        <v>291</v>
      </c>
      <c r="D39">
        <v>1</v>
      </c>
      <c r="F39" s="52"/>
    </row>
    <row r="40" spans="1:6" ht="15.75" customHeight="1">
      <c r="A40" t="s">
        <v>154</v>
      </c>
      <c r="B40" t="s">
        <v>292</v>
      </c>
      <c r="D40">
        <v>1</v>
      </c>
      <c r="F40" s="52"/>
    </row>
    <row r="41" spans="1:6" ht="15.75" customHeight="1">
      <c r="A41" t="s">
        <v>155</v>
      </c>
      <c r="B41" t="s">
        <v>293</v>
      </c>
      <c r="E41">
        <v>1</v>
      </c>
      <c r="F41" s="52"/>
    </row>
    <row r="42" spans="1:6" ht="15.75" customHeight="1">
      <c r="A42" t="s">
        <v>156</v>
      </c>
      <c r="B42" t="s">
        <v>294</v>
      </c>
      <c r="D42">
        <v>1</v>
      </c>
      <c r="F42" s="52"/>
    </row>
    <row r="43" spans="1:6" ht="15.75" customHeight="1">
      <c r="A43" t="s">
        <v>157</v>
      </c>
      <c r="B43" t="s">
        <v>295</v>
      </c>
      <c r="D43">
        <v>1</v>
      </c>
      <c r="F43" s="52"/>
    </row>
    <row r="44" spans="1:6" ht="15.75" customHeight="1">
      <c r="A44" t="s">
        <v>158</v>
      </c>
      <c r="B44" t="s">
        <v>296</v>
      </c>
      <c r="D44">
        <v>1</v>
      </c>
    </row>
    <row r="45" spans="1:6" ht="15.75" customHeight="1">
      <c r="A45" t="s">
        <v>159</v>
      </c>
      <c r="B45" t="s">
        <v>255</v>
      </c>
      <c r="D45">
        <v>1</v>
      </c>
    </row>
    <row r="46" spans="1:6" ht="15.75" customHeight="1">
      <c r="A46" t="s">
        <v>160</v>
      </c>
      <c r="B46" t="s">
        <v>297</v>
      </c>
      <c r="E46">
        <v>1</v>
      </c>
    </row>
    <row r="47" spans="1:6" ht="15.75" customHeight="1">
      <c r="A47" t="s">
        <v>161</v>
      </c>
      <c r="B47" t="s">
        <v>298</v>
      </c>
      <c r="D47">
        <v>1</v>
      </c>
    </row>
    <row r="48" spans="1:6" ht="15.75" customHeight="1">
      <c r="A48" t="s">
        <v>162</v>
      </c>
      <c r="B48" t="s">
        <v>299</v>
      </c>
      <c r="D48">
        <v>1</v>
      </c>
    </row>
    <row r="49" spans="1:5" ht="15.75" customHeight="1">
      <c r="A49" t="s">
        <v>163</v>
      </c>
      <c r="B49" t="s">
        <v>300</v>
      </c>
      <c r="D49">
        <v>1</v>
      </c>
    </row>
    <row r="50" spans="1:5" ht="15.75" customHeight="1">
      <c r="A50" t="s">
        <v>164</v>
      </c>
      <c r="B50" t="s">
        <v>256</v>
      </c>
      <c r="D50">
        <v>1</v>
      </c>
    </row>
    <row r="51" spans="1:5" ht="15.75" customHeight="1">
      <c r="A51" t="s">
        <v>165</v>
      </c>
      <c r="B51" t="s">
        <v>301</v>
      </c>
      <c r="C51">
        <v>1</v>
      </c>
    </row>
    <row r="52" spans="1:5" ht="15.75" customHeight="1">
      <c r="A52" t="s">
        <v>166</v>
      </c>
      <c r="B52" t="s">
        <v>302</v>
      </c>
      <c r="D52">
        <v>1</v>
      </c>
    </row>
    <row r="53" spans="1:5" ht="15.75" customHeight="1">
      <c r="A53" t="s">
        <v>167</v>
      </c>
      <c r="B53" t="s">
        <v>303</v>
      </c>
      <c r="C53">
        <v>1</v>
      </c>
    </row>
    <row r="54" spans="1:5" ht="15.75" customHeight="1">
      <c r="A54" t="s">
        <v>168</v>
      </c>
      <c r="B54" t="s">
        <v>304</v>
      </c>
      <c r="D54">
        <v>1</v>
      </c>
    </row>
    <row r="55" spans="1:5" ht="15.75" customHeight="1">
      <c r="A55" t="s">
        <v>169</v>
      </c>
      <c r="B55" t="s">
        <v>305</v>
      </c>
      <c r="D55">
        <v>1</v>
      </c>
    </row>
    <row r="56" spans="1:5" ht="15.75" customHeight="1">
      <c r="A56" t="s">
        <v>170</v>
      </c>
      <c r="B56" t="s">
        <v>257</v>
      </c>
      <c r="D56">
        <v>1</v>
      </c>
    </row>
    <row r="57" spans="1:5" ht="15.75" customHeight="1">
      <c r="A57" s="5" t="s">
        <v>171</v>
      </c>
      <c r="B57" s="6"/>
      <c r="C57" s="6"/>
      <c r="D57" s="6"/>
      <c r="E57" s="6"/>
    </row>
    <row r="58" spans="1:5" ht="15.75" customHeight="1">
      <c r="A58" s="5" t="s">
        <v>172</v>
      </c>
      <c r="B58" s="6"/>
      <c r="C58" s="6"/>
      <c r="D58" s="6"/>
      <c r="E58" s="6"/>
    </row>
    <row r="59" spans="1:5" ht="15.75" customHeight="1">
      <c r="A59" s="5" t="s">
        <v>173</v>
      </c>
      <c r="B59" s="7"/>
      <c r="C59" s="7"/>
      <c r="D59" s="7"/>
      <c r="E59" s="7"/>
    </row>
    <row r="60" spans="1:5" ht="15.75" customHeight="1">
      <c r="A60" s="5" t="s">
        <v>174</v>
      </c>
      <c r="B60" s="7"/>
      <c r="C60" s="7"/>
      <c r="D60" s="7"/>
      <c r="E60" s="7"/>
    </row>
    <row r="61" spans="1:5" ht="15.75" customHeight="1">
      <c r="A61" s="5" t="s">
        <v>175</v>
      </c>
      <c r="B61" s="7"/>
      <c r="C61" s="7"/>
      <c r="D61" s="7"/>
      <c r="E61" s="7"/>
    </row>
    <row r="62" spans="1:5" ht="15.75" customHeight="1">
      <c r="A62" s="5" t="s">
        <v>176</v>
      </c>
      <c r="B62" s="7"/>
      <c r="C62" s="7"/>
      <c r="D62" s="7"/>
      <c r="E62" s="7"/>
    </row>
    <row r="63" spans="1:5" ht="15.75" customHeight="1">
      <c r="A63" s="5" t="s">
        <v>177</v>
      </c>
      <c r="B63" s="7"/>
      <c r="C63" s="7"/>
      <c r="D63" s="7"/>
      <c r="E63" s="7"/>
    </row>
    <row r="64" spans="1:5" ht="15.75" customHeight="1">
      <c r="A64" s="5" t="s">
        <v>178</v>
      </c>
      <c r="B64" s="7"/>
      <c r="C64" s="7"/>
      <c r="D64" s="7"/>
      <c r="E64" s="7"/>
    </row>
    <row r="65" spans="1:5" ht="15.75" customHeight="1">
      <c r="A65" s="5" t="s">
        <v>179</v>
      </c>
      <c r="B65" s="7"/>
      <c r="C65" s="7"/>
      <c r="D65" s="7"/>
      <c r="E65" s="7"/>
    </row>
    <row r="66" spans="1:5" ht="15.75" customHeight="1">
      <c r="A66" s="5" t="s">
        <v>180</v>
      </c>
      <c r="B66" s="7"/>
      <c r="C66" s="7"/>
      <c r="D66" s="7"/>
      <c r="E66" s="7"/>
    </row>
    <row r="67" spans="1:5" ht="15.75" customHeight="1">
      <c r="A67" s="5" t="s">
        <v>181</v>
      </c>
      <c r="B67" s="7"/>
      <c r="C67" s="7"/>
      <c r="D67" s="7"/>
      <c r="E67" s="7"/>
    </row>
    <row r="68" spans="1:5" ht="15.75" customHeight="1">
      <c r="A68" s="5" t="s">
        <v>182</v>
      </c>
      <c r="B68" s="7"/>
      <c r="C68" s="7"/>
      <c r="D68" s="7"/>
      <c r="E68" s="7"/>
    </row>
    <row r="69" spans="1:5" ht="15.75" customHeight="1">
      <c r="A69" s="5" t="s">
        <v>183</v>
      </c>
      <c r="B69" s="7"/>
      <c r="C69" s="7"/>
      <c r="D69" s="7"/>
      <c r="E69" s="7"/>
    </row>
    <row r="70" spans="1:5" ht="15.75" customHeight="1">
      <c r="A70" s="5" t="s">
        <v>184</v>
      </c>
      <c r="B70" s="7"/>
      <c r="C70" s="7"/>
      <c r="D70" s="7"/>
      <c r="E70" s="7"/>
    </row>
    <row r="71" spans="1:5" ht="15.75" customHeight="1">
      <c r="A71" s="5" t="s">
        <v>185</v>
      </c>
      <c r="B71" s="7"/>
      <c r="C71" s="7"/>
      <c r="D71" s="7"/>
      <c r="E71" s="7"/>
    </row>
    <row r="72" spans="1:5" ht="15.75" customHeight="1">
      <c r="A72" s="5" t="s">
        <v>186</v>
      </c>
      <c r="B72" s="7"/>
      <c r="C72" s="7"/>
      <c r="D72" s="7"/>
      <c r="E72" s="7"/>
    </row>
    <row r="73" spans="1:5" ht="15.75" customHeight="1">
      <c r="A73" s="5" t="s">
        <v>187</v>
      </c>
      <c r="B73" s="7"/>
      <c r="C73" s="7"/>
      <c r="D73" s="7"/>
      <c r="E73" s="7"/>
    </row>
    <row r="74" spans="1:5" ht="15.75" customHeight="1">
      <c r="A74" s="5" t="s">
        <v>188</v>
      </c>
      <c r="B74" s="7"/>
      <c r="C74" s="7"/>
      <c r="D74" s="7"/>
      <c r="E74" s="7"/>
    </row>
    <row r="75" spans="1:5" ht="15.75" customHeight="1">
      <c r="A75" s="5" t="s">
        <v>189</v>
      </c>
      <c r="B75" s="7"/>
      <c r="C75" s="7"/>
      <c r="D75" s="7"/>
      <c r="E75" s="7"/>
    </row>
    <row r="76" spans="1:5" ht="15.75" customHeight="1">
      <c r="A76" s="5" t="s">
        <v>190</v>
      </c>
      <c r="B76" s="7"/>
      <c r="C76" s="7"/>
      <c r="D76" s="7"/>
      <c r="E76" s="7"/>
    </row>
    <row r="77" spans="1:5" ht="15.75" customHeight="1">
      <c r="A77" s="5" t="s">
        <v>191</v>
      </c>
      <c r="B77" s="7"/>
      <c r="C77" s="7"/>
      <c r="D77" s="7"/>
      <c r="E77" s="7"/>
    </row>
    <row r="78" spans="1:5" ht="15.75" customHeight="1">
      <c r="A78" s="5" t="s">
        <v>192</v>
      </c>
      <c r="B78" s="7"/>
      <c r="C78" s="7"/>
      <c r="D78" s="7"/>
      <c r="E78" s="7"/>
    </row>
    <row r="79" spans="1:5" ht="15.75" customHeight="1">
      <c r="A79" s="5" t="s">
        <v>193</v>
      </c>
      <c r="B79" s="7"/>
      <c r="C79" s="7"/>
      <c r="D79" s="7"/>
      <c r="E79" s="7"/>
    </row>
    <row r="80" spans="1:5" ht="15.75" customHeight="1">
      <c r="A80" s="5" t="s">
        <v>194</v>
      </c>
      <c r="B80" s="7"/>
      <c r="C80" s="7"/>
      <c r="D80" s="7"/>
      <c r="E80" s="7"/>
    </row>
    <row r="81" spans="1:5" ht="15.75" customHeight="1">
      <c r="A81" s="5" t="s">
        <v>195</v>
      </c>
      <c r="B81" s="7"/>
      <c r="C81" s="7"/>
      <c r="D81" s="7"/>
      <c r="E81" s="7"/>
    </row>
    <row r="82" spans="1:5" ht="15.75" customHeight="1">
      <c r="A82" s="5" t="s">
        <v>196</v>
      </c>
      <c r="B82" s="7"/>
      <c r="C82" s="7"/>
      <c r="D82" s="7"/>
      <c r="E82" s="7"/>
    </row>
    <row r="83" spans="1:5" ht="15.75" customHeight="1">
      <c r="A83" s="5" t="s">
        <v>197</v>
      </c>
      <c r="B83" s="7"/>
      <c r="C83" s="7"/>
      <c r="D83" s="7"/>
      <c r="E83" s="7"/>
    </row>
    <row r="84" spans="1:5" ht="15.75" customHeight="1">
      <c r="A84" s="5" t="s">
        <v>198</v>
      </c>
      <c r="B84" s="7"/>
      <c r="C84" s="7"/>
      <c r="D84" s="7"/>
      <c r="E84" s="7"/>
    </row>
    <row r="85" spans="1:5" ht="15.75" customHeight="1">
      <c r="A85" s="5" t="s">
        <v>199</v>
      </c>
      <c r="B85" s="7"/>
      <c r="C85" s="7"/>
      <c r="D85" s="7"/>
      <c r="E85" s="7"/>
    </row>
    <row r="86" spans="1:5" ht="15.75" customHeight="1">
      <c r="A86" s="5" t="s">
        <v>200</v>
      </c>
      <c r="B86" s="7"/>
      <c r="C86" s="7"/>
      <c r="D86" s="7"/>
      <c r="E86" s="7"/>
    </row>
    <row r="87" spans="1:5" ht="15.75" customHeight="1">
      <c r="A87" s="5" t="s">
        <v>201</v>
      </c>
      <c r="B87" s="7"/>
      <c r="C87" s="7"/>
      <c r="D87" s="7"/>
      <c r="E87" s="7"/>
    </row>
    <row r="88" spans="1:5" ht="15.75" customHeight="1">
      <c r="A88" s="5" t="s">
        <v>202</v>
      </c>
      <c r="B88" s="7"/>
      <c r="C88" s="7"/>
      <c r="D88" s="7"/>
      <c r="E88" s="7"/>
    </row>
    <row r="89" spans="1:5" ht="15.75" customHeight="1">
      <c r="A89" s="5" t="s">
        <v>203</v>
      </c>
      <c r="B89" s="7"/>
      <c r="C89" s="7"/>
      <c r="D89" s="7"/>
      <c r="E89" s="7"/>
    </row>
    <row r="90" spans="1:5" ht="15.75" customHeight="1">
      <c r="A90" s="5" t="s">
        <v>204</v>
      </c>
      <c r="B90" s="7"/>
      <c r="C90" s="7"/>
      <c r="D90" s="7"/>
      <c r="E90" s="7"/>
    </row>
    <row r="91" spans="1:5" ht="15.75" customHeight="1">
      <c r="A91" s="5" t="s">
        <v>205</v>
      </c>
      <c r="B91" s="7"/>
      <c r="C91" s="7"/>
      <c r="D91" s="7"/>
      <c r="E91" s="7"/>
    </row>
    <row r="92" spans="1:5" ht="15.75" customHeight="1">
      <c r="A92" s="5" t="s">
        <v>206</v>
      </c>
      <c r="B92" s="7"/>
      <c r="C92" s="7"/>
      <c r="D92" s="7"/>
      <c r="E92" s="7"/>
    </row>
    <row r="93" spans="1:5" ht="15.75" customHeight="1">
      <c r="A93" s="5" t="s">
        <v>207</v>
      </c>
      <c r="B93" s="7"/>
      <c r="C93" s="7"/>
      <c r="D93" s="7"/>
      <c r="E93" s="7"/>
    </row>
    <row r="94" spans="1:5" ht="15.75" customHeight="1">
      <c r="A94" s="5" t="s">
        <v>208</v>
      </c>
      <c r="B94" s="7"/>
      <c r="C94" s="7"/>
      <c r="D94" s="7"/>
      <c r="E94" s="7"/>
    </row>
    <row r="95" spans="1:5" ht="15.75" customHeight="1">
      <c r="A95" s="5" t="s">
        <v>209</v>
      </c>
      <c r="B95" s="7"/>
      <c r="C95" s="7"/>
      <c r="D95" s="7"/>
      <c r="E95" s="7"/>
    </row>
    <row r="96" spans="1:5" ht="15.75" customHeight="1">
      <c r="A96" s="5" t="s">
        <v>210</v>
      </c>
      <c r="B96" s="7"/>
      <c r="C96" s="7"/>
      <c r="D96" s="7"/>
      <c r="E96" s="7"/>
    </row>
    <row r="97" spans="1:5" ht="15.75" customHeight="1">
      <c r="A97" s="5" t="s">
        <v>211</v>
      </c>
      <c r="B97" s="7"/>
      <c r="C97" s="7"/>
      <c r="D97" s="7"/>
      <c r="E97" s="7"/>
    </row>
    <row r="98" spans="1:5" ht="15.75" customHeight="1">
      <c r="A98" s="5" t="s">
        <v>212</v>
      </c>
      <c r="B98" s="7"/>
      <c r="C98" s="7"/>
      <c r="D98" s="7"/>
      <c r="E98" s="7"/>
    </row>
    <row r="99" spans="1:5" ht="15.75" customHeight="1">
      <c r="A99" s="5" t="s">
        <v>213</v>
      </c>
      <c r="B99" s="7"/>
      <c r="C99" s="7"/>
      <c r="D99" s="7"/>
      <c r="E99" s="7"/>
    </row>
    <row r="100" spans="1:5" ht="15.75" customHeight="1">
      <c r="A100" s="5" t="s">
        <v>214</v>
      </c>
      <c r="B100" s="7"/>
      <c r="C100" s="7"/>
      <c r="D100" s="7"/>
      <c r="E100" s="7"/>
    </row>
    <row r="101" spans="1:5" ht="15.75" customHeight="1">
      <c r="A101" s="5" t="s">
        <v>215</v>
      </c>
      <c r="B101" s="7"/>
      <c r="C101" s="7"/>
      <c r="D101" s="7"/>
      <c r="E101" s="7"/>
    </row>
    <row r="102" spans="1:5" ht="15.75" customHeight="1">
      <c r="A102" s="5" t="s">
        <v>216</v>
      </c>
      <c r="B102" s="7"/>
      <c r="C102" s="7"/>
      <c r="D102" s="7"/>
      <c r="E102" s="7"/>
    </row>
    <row r="103" spans="1:5" ht="15.75" customHeight="1">
      <c r="A103" s="5" t="s">
        <v>217</v>
      </c>
      <c r="B103" s="7"/>
      <c r="C103" s="7"/>
      <c r="D103" s="7"/>
      <c r="E103" s="7"/>
    </row>
    <row r="104" spans="1:5" ht="15.75" customHeight="1">
      <c r="A104" s="5" t="s">
        <v>218</v>
      </c>
      <c r="B104" s="7"/>
      <c r="C104" s="7"/>
      <c r="D104" s="7"/>
      <c r="E104" s="7"/>
    </row>
    <row r="105" spans="1:5" ht="15.75" customHeight="1">
      <c r="A105" s="5" t="s">
        <v>219</v>
      </c>
      <c r="B105" s="7"/>
      <c r="C105" s="7"/>
      <c r="D105" s="7"/>
      <c r="E105" s="7"/>
    </row>
    <row r="106" spans="1:5" ht="15.75" customHeight="1">
      <c r="A106" s="5" t="s">
        <v>220</v>
      </c>
      <c r="B106" s="7"/>
      <c r="C106" s="7"/>
      <c r="D106" s="7"/>
      <c r="E106" s="7"/>
    </row>
    <row r="107" spans="1:5" ht="15.75" customHeight="1">
      <c r="A107" s="5" t="s">
        <v>221</v>
      </c>
      <c r="B107" s="7"/>
      <c r="C107" s="7"/>
      <c r="D107" s="7"/>
      <c r="E107" s="7"/>
    </row>
    <row r="108" spans="1:5" ht="15.75" customHeight="1">
      <c r="A108" s="5" t="s">
        <v>222</v>
      </c>
      <c r="B108" s="7"/>
      <c r="C108" s="7"/>
      <c r="D108" s="7"/>
      <c r="E108" s="7"/>
    </row>
    <row r="109" spans="1:5" ht="15.75" customHeight="1">
      <c r="A109" s="5" t="s">
        <v>223</v>
      </c>
      <c r="B109" s="7"/>
      <c r="C109" s="7"/>
      <c r="D109" s="7"/>
      <c r="E109" s="7"/>
    </row>
    <row r="110" spans="1:5" ht="15.75" customHeight="1">
      <c r="A110" s="5" t="s">
        <v>224</v>
      </c>
      <c r="B110" s="7"/>
      <c r="C110" s="7"/>
      <c r="D110" s="7"/>
      <c r="E110" s="7"/>
    </row>
    <row r="111" spans="1:5" ht="15.75" customHeight="1">
      <c r="A111" s="5" t="s">
        <v>225</v>
      </c>
      <c r="B111" s="7"/>
      <c r="C111" s="7"/>
      <c r="D111" s="7"/>
      <c r="E111" s="7"/>
    </row>
    <row r="112" spans="1:5" ht="15.75" customHeight="1">
      <c r="A112" s="5" t="s">
        <v>226</v>
      </c>
      <c r="B112" s="7"/>
      <c r="C112" s="7"/>
      <c r="D112" s="7"/>
      <c r="E112" s="7"/>
    </row>
    <row r="113" spans="1:5" ht="15.75" customHeight="1">
      <c r="A113" s="5" t="s">
        <v>227</v>
      </c>
      <c r="B113" s="7"/>
      <c r="C113" s="7"/>
      <c r="D113" s="7"/>
      <c r="E113" s="7"/>
    </row>
    <row r="114" spans="1:5" ht="15.75" customHeight="1">
      <c r="A114" s="5" t="s">
        <v>228</v>
      </c>
      <c r="B114" s="7"/>
      <c r="C114" s="7"/>
      <c r="D114" s="7"/>
      <c r="E114" s="7"/>
    </row>
    <row r="115" spans="1:5" ht="15.75" customHeight="1">
      <c r="A115" s="5" t="s">
        <v>229</v>
      </c>
      <c r="B115" s="7"/>
      <c r="C115" s="7"/>
      <c r="D115" s="7"/>
      <c r="E115" s="7"/>
    </row>
    <row r="116" spans="1:5" ht="15.75" customHeight="1">
      <c r="A116" s="5" t="s">
        <v>230</v>
      </c>
      <c r="B116" s="7"/>
      <c r="C116" s="7"/>
      <c r="D116" s="7"/>
      <c r="E116" s="7"/>
    </row>
    <row r="117" spans="1:5" ht="15.75" customHeight="1">
      <c r="A117" s="5" t="s">
        <v>231</v>
      </c>
      <c r="B117" s="7"/>
      <c r="C117" s="7"/>
      <c r="D117" s="7"/>
      <c r="E117" s="7"/>
    </row>
    <row r="118" spans="1:5" ht="15.75" customHeight="1">
      <c r="A118" s="5" t="s">
        <v>232</v>
      </c>
      <c r="B118" s="7"/>
      <c r="C118" s="7"/>
      <c r="D118" s="7"/>
      <c r="E118" s="7"/>
    </row>
    <row r="119" spans="1:5" ht="15.75" customHeight="1">
      <c r="A119" s="5" t="s">
        <v>233</v>
      </c>
      <c r="B119" s="7"/>
      <c r="C119" s="7"/>
      <c r="D119" s="7"/>
      <c r="E119" s="7"/>
    </row>
    <row r="120" spans="1:5" ht="15.75" customHeight="1">
      <c r="A120" s="5" t="s">
        <v>234</v>
      </c>
      <c r="B120" s="7"/>
      <c r="C120" s="7"/>
      <c r="D120" s="7"/>
      <c r="E120" s="7"/>
    </row>
    <row r="121" spans="1:5" ht="15.75" customHeight="1">
      <c r="A121" s="5" t="s">
        <v>235</v>
      </c>
      <c r="B121" s="7"/>
      <c r="C121" s="7"/>
      <c r="D121" s="7"/>
      <c r="E121" s="7"/>
    </row>
    <row r="122" spans="1:5" ht="15.75" customHeight="1">
      <c r="A122" s="5" t="s">
        <v>236</v>
      </c>
      <c r="B122" s="7"/>
      <c r="C122" s="7"/>
      <c r="D122" s="7"/>
      <c r="E122" s="7"/>
    </row>
    <row r="123" spans="1:5" ht="15.75" customHeight="1"/>
    <row r="124" spans="1:5" ht="15.75" customHeight="1"/>
    <row r="125" spans="1:5" ht="15.75" customHeight="1"/>
    <row r="126" spans="1:5" ht="15.75" customHeight="1"/>
    <row r="127" spans="1:5" ht="15.75" customHeight="1"/>
    <row r="128" spans="1:5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honeticPr fontId="4" type="noConversion"/>
  <pageMargins left="0" right="0" top="0.39370078740157505" bottom="0.39370078740157505" header="0" footer="0"/>
  <pageSetup orientation="landscape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zoomScale="114" zoomScaleNormal="140" workbookViewId="0">
      <selection activeCell="C18" sqref="C18"/>
    </sheetView>
  </sheetViews>
  <sheetFormatPr baseColWidth="10" defaultColWidth="11.140625" defaultRowHeight="15" customHeight="1"/>
  <cols>
    <col min="1" max="1" width="15.42578125" customWidth="1"/>
    <col min="2" max="2" width="96.85546875" customWidth="1"/>
    <col min="3" max="3" width="11" customWidth="1"/>
    <col min="4" max="4" width="12.42578125" customWidth="1"/>
    <col min="5" max="5" width="11" customWidth="1"/>
    <col min="6" max="6" width="15" customWidth="1"/>
    <col min="7" max="26" width="8.28515625" customWidth="1"/>
  </cols>
  <sheetData>
    <row r="1" spans="1:26" ht="15.75" customHeight="1">
      <c r="A1" s="8" t="s">
        <v>237</v>
      </c>
      <c r="B1" s="8" t="s">
        <v>59</v>
      </c>
      <c r="C1" s="8" t="s">
        <v>60</v>
      </c>
      <c r="D1" s="8" t="s">
        <v>238</v>
      </c>
      <c r="E1" s="8" t="s">
        <v>239</v>
      </c>
      <c r="F1" s="9"/>
      <c r="G1" s="9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0" t="s">
        <v>114</v>
      </c>
      <c r="B2" s="11" t="s">
        <v>240</v>
      </c>
      <c r="C2" s="11">
        <v>5</v>
      </c>
      <c r="D2" s="11">
        <f>'Use Cases'!C1</f>
        <v>11</v>
      </c>
      <c r="E2" s="11">
        <f t="shared" ref="E2:E4" si="0">C2*D2</f>
        <v>55</v>
      </c>
      <c r="F2" s="11"/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0" t="s">
        <v>115</v>
      </c>
      <c r="B3" s="11" t="s">
        <v>241</v>
      </c>
      <c r="C3" s="11">
        <v>10</v>
      </c>
      <c r="D3" s="11">
        <f>'Use Cases'!D1</f>
        <v>34</v>
      </c>
      <c r="E3" s="11">
        <f t="shared" si="0"/>
        <v>340</v>
      </c>
      <c r="F3" s="11"/>
      <c r="G3" s="1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0" t="s">
        <v>116</v>
      </c>
      <c r="B4" s="11" t="s">
        <v>242</v>
      </c>
      <c r="C4" s="11">
        <v>15</v>
      </c>
      <c r="D4" s="11">
        <f>'Use Cases'!E1</f>
        <v>9</v>
      </c>
      <c r="E4" s="11">
        <f t="shared" si="0"/>
        <v>135</v>
      </c>
      <c r="F4" s="11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2"/>
      <c r="B5" s="13" t="s">
        <v>82</v>
      </c>
      <c r="C5" s="14"/>
      <c r="D5" s="14"/>
      <c r="E5" s="14">
        <f>SUM(E2:E4)</f>
        <v>530</v>
      </c>
      <c r="F5" s="12"/>
      <c r="G5" s="12"/>
    </row>
    <row r="6" spans="1:26" ht="15.75" customHeight="1">
      <c r="A6" s="12"/>
      <c r="B6" s="12"/>
      <c r="C6" s="12"/>
      <c r="D6" s="12"/>
      <c r="E6" s="12"/>
      <c r="F6" s="12"/>
      <c r="G6" s="12"/>
    </row>
    <row r="7" spans="1:26" ht="15.75" customHeight="1">
      <c r="A7" s="12"/>
      <c r="B7" s="12"/>
      <c r="C7" s="12"/>
      <c r="D7" s="12"/>
      <c r="E7" s="12"/>
      <c r="F7" s="12"/>
      <c r="G7" s="12"/>
    </row>
    <row r="8" spans="1:26" ht="15.75" customHeight="1">
      <c r="A8" s="12"/>
      <c r="B8" s="12"/>
      <c r="C8" s="12"/>
      <c r="D8" s="12"/>
      <c r="E8" s="12"/>
      <c r="F8" s="12"/>
      <c r="G8" s="12"/>
    </row>
    <row r="9" spans="1:26" ht="15.75" customHeight="1">
      <c r="A9" s="8" t="s">
        <v>243</v>
      </c>
      <c r="B9" s="8" t="s">
        <v>59</v>
      </c>
      <c r="C9" s="8" t="s">
        <v>60</v>
      </c>
      <c r="D9" s="8" t="s">
        <v>244</v>
      </c>
      <c r="E9" s="8" t="s">
        <v>239</v>
      </c>
      <c r="F9" s="12"/>
      <c r="G9" s="12"/>
    </row>
    <row r="10" spans="1:26" ht="15.75" customHeight="1">
      <c r="A10" s="10" t="s">
        <v>114</v>
      </c>
      <c r="B10" s="11" t="s">
        <v>245</v>
      </c>
      <c r="C10" s="11">
        <v>1</v>
      </c>
      <c r="D10" s="56">
        <v>3</v>
      </c>
      <c r="E10" s="11">
        <f t="shared" ref="E10:E12" si="1">C10*D10</f>
        <v>3</v>
      </c>
      <c r="F10" s="12"/>
      <c r="G10" s="12"/>
    </row>
    <row r="11" spans="1:26" ht="15.75" customHeight="1">
      <c r="A11" s="10" t="s">
        <v>115</v>
      </c>
      <c r="B11" s="11" t="s">
        <v>246</v>
      </c>
      <c r="C11" s="11">
        <v>2</v>
      </c>
      <c r="D11" s="56">
        <v>0</v>
      </c>
      <c r="E11" s="11">
        <f t="shared" si="1"/>
        <v>0</v>
      </c>
      <c r="F11" s="12"/>
      <c r="G11" s="12"/>
    </row>
    <row r="12" spans="1:26" ht="15.75" customHeight="1">
      <c r="A12" s="10" t="s">
        <v>116</v>
      </c>
      <c r="B12" s="11" t="s">
        <v>247</v>
      </c>
      <c r="C12" s="11">
        <v>3</v>
      </c>
      <c r="D12" s="56">
        <v>1</v>
      </c>
      <c r="E12" s="11">
        <f t="shared" si="1"/>
        <v>3</v>
      </c>
      <c r="F12" s="12"/>
      <c r="G12" s="12"/>
    </row>
    <row r="13" spans="1:26" ht="15.75" customHeight="1">
      <c r="A13" s="12"/>
      <c r="B13" s="13" t="s">
        <v>82</v>
      </c>
      <c r="C13" s="14"/>
      <c r="D13" s="14"/>
      <c r="E13" s="14">
        <f>SUM(E10:E12)</f>
        <v>6</v>
      </c>
      <c r="F13" s="12"/>
      <c r="G13" s="12"/>
    </row>
    <row r="14" spans="1:26" ht="15.75" customHeight="1">
      <c r="A14" s="12"/>
      <c r="B14" s="12"/>
      <c r="C14" s="12"/>
      <c r="D14" s="12"/>
      <c r="E14" s="12"/>
      <c r="F14" s="12"/>
      <c r="G14" s="12"/>
    </row>
    <row r="15" spans="1:26" ht="15.75" customHeight="1">
      <c r="A15" s="12"/>
      <c r="B15" s="12"/>
      <c r="C15" s="12"/>
      <c r="D15" s="12"/>
      <c r="E15" s="12"/>
      <c r="F15" s="12"/>
      <c r="G15" s="12"/>
    </row>
    <row r="16" spans="1:26" ht="15.75" customHeight="1">
      <c r="A16" s="12"/>
      <c r="B16" s="15" t="s">
        <v>248</v>
      </c>
      <c r="C16" s="16">
        <f>E5+E13</f>
        <v>536</v>
      </c>
      <c r="D16" s="12"/>
      <c r="E16" s="12"/>
      <c r="F16" s="12"/>
      <c r="G16" s="12"/>
    </row>
    <row r="17" spans="1:7" ht="15.75" customHeight="1">
      <c r="A17" s="12"/>
      <c r="B17" s="15" t="s">
        <v>249</v>
      </c>
      <c r="C17" s="49">
        <v>20</v>
      </c>
      <c r="D17" s="12"/>
      <c r="E17" s="12"/>
      <c r="F17" s="12"/>
      <c r="G17" s="12"/>
    </row>
    <row r="18" spans="1:7" ht="15.75" customHeight="1">
      <c r="A18" s="12"/>
      <c r="B18" s="15" t="s">
        <v>250</v>
      </c>
      <c r="C18" s="16">
        <f>'TCF_(Technical_Complexity_Facto'!E17*'ECF_(Environment_Complexity_Fac'!E13*UUCP!C16*UUCP!C17</f>
        <v>6273.3439999999991</v>
      </c>
      <c r="D18" s="12"/>
      <c r="E18" s="12"/>
      <c r="F18" s="12"/>
      <c r="G18" s="12"/>
    </row>
    <row r="19" spans="1:7" ht="15.75" customHeight="1">
      <c r="A19" s="12"/>
      <c r="B19" s="15" t="s">
        <v>251</v>
      </c>
      <c r="C19" s="50">
        <f>C18/8</f>
        <v>784.16799999999989</v>
      </c>
      <c r="D19" s="12"/>
      <c r="E19" s="12"/>
      <c r="F19" s="37"/>
      <c r="G19" s="12"/>
    </row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.39370078740157505" bottom="0.39370078740157505" header="0" footer="0"/>
  <pageSetup orientation="landscape"/>
  <headerFooter>
    <oddHeader>&amp;C&amp;A</oddHeader>
    <oddFooter>&amp;CPage 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A3D163A22484A996078C634E30D31" ma:contentTypeVersion="11" ma:contentTypeDescription="Create a new document." ma:contentTypeScope="" ma:versionID="aaf50ff6740ea8d6088ac14e3e14802f">
  <xsd:schema xmlns:xsd="http://www.w3.org/2001/XMLSchema" xmlns:xs="http://www.w3.org/2001/XMLSchema" xmlns:p="http://schemas.microsoft.com/office/2006/metadata/properties" xmlns:ns2="38c31af2-8071-43d0-8e05-83dbddc94f2b" xmlns:ns3="f7a35a28-2d78-4fad-95f2-ce781dd894f1" targetNamespace="http://schemas.microsoft.com/office/2006/metadata/properties" ma:root="true" ma:fieldsID="3444214d351c4fd2f5488f69c690ce8c" ns2:_="" ns3:_="">
    <xsd:import namespace="38c31af2-8071-43d0-8e05-83dbddc94f2b"/>
    <xsd:import namespace="f7a35a28-2d78-4fad-95f2-ce781dd89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31af2-8071-43d0-8e05-83dbddc94f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80deca-a13b-4ade-99cb-88c58724d4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35a28-2d78-4fad-95f2-ce781dd894f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9cdec8-b19e-4cef-afc6-faa25942c6fc}" ma:internalName="TaxCatchAll" ma:showField="CatchAllData" ma:web="f7a35a28-2d78-4fad-95f2-ce781dd894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c31af2-8071-43d0-8e05-83dbddc94f2b">
      <Terms xmlns="http://schemas.microsoft.com/office/infopath/2007/PartnerControls"/>
    </lcf76f155ced4ddcb4097134ff3c332f>
    <TaxCatchAll xmlns="f7a35a28-2d78-4fad-95f2-ce781dd894f1" xsi:nil="true"/>
  </documentManagement>
</p:properties>
</file>

<file path=customXml/itemProps1.xml><?xml version="1.0" encoding="utf-8"?>
<ds:datastoreItem xmlns:ds="http://schemas.openxmlformats.org/officeDocument/2006/customXml" ds:itemID="{7C861D3E-0499-4C6D-9C76-5A0D8EE95F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c31af2-8071-43d0-8e05-83dbddc94f2b"/>
    <ds:schemaRef ds:uri="f7a35a28-2d78-4fad-95f2-ce781dd894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0B4197-F349-4A18-93CC-61DFA9EB6B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9B54C-072E-403C-941E-5D092E8188AF}">
  <ds:schemaRefs>
    <ds:schemaRef ds:uri="http://schemas.microsoft.com/office/2006/metadata/properties"/>
    <ds:schemaRef ds:uri="http://schemas.microsoft.com/office/infopath/2007/PartnerControls"/>
    <ds:schemaRef ds:uri="38c31af2-8071-43d0-8e05-83dbddc94f2b"/>
    <ds:schemaRef ds:uri="f7a35a28-2d78-4fad-95f2-ce781dd894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Copertina</vt:lpstr>
      <vt:lpstr>TCF_(Technical_Complexity_Facto</vt:lpstr>
      <vt:lpstr>ECF_(Environment_Complexity_Fac</vt:lpstr>
      <vt:lpstr>Use Cases</vt:lpstr>
      <vt:lpstr>UUCP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Micheli</cp:lastModifiedBy>
  <cp:revision/>
  <dcterms:created xsi:type="dcterms:W3CDTF">2017-11-17T15:57:30Z</dcterms:created>
  <dcterms:modified xsi:type="dcterms:W3CDTF">2025-11-19T10:02:49Z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0x0101005E4A3D163A22484A996078C634E30D31</vt:lpwstr>
  </property>
</Properties>
</file>